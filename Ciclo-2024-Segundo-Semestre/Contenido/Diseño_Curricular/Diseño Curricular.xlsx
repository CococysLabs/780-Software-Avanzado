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  <sheet state="visible" name="Base del Diseño Curricular" sheetId="2" r:id="rId6"/>
    <sheet state="visible" name="Planificación Semanas" sheetId="3" r:id="rId7"/>
  </sheets>
  <definedNames/>
  <calcPr/>
</workbook>
</file>

<file path=xl/sharedStrings.xml><?xml version="1.0" encoding="utf-8"?>
<sst xmlns="http://schemas.openxmlformats.org/spreadsheetml/2006/main" count="710" uniqueCount="151">
  <si>
    <t>Numero</t>
  </si>
  <si>
    <t>Numero de Mes</t>
  </si>
  <si>
    <t>Concepto Principal</t>
  </si>
  <si>
    <t>Nombre de la Meta</t>
  </si>
  <si>
    <t>Descripcion de la Meta</t>
  </si>
  <si>
    <t>Dominar herramientas de desarrollo frontend y backend</t>
  </si>
  <si>
    <t>Semana</t>
  </si>
  <si>
    <t>Los estudiantes deben ser capaces de desarrollar aplicaciones web utilizando tecnologías modernas de frontend como React o Angular, y backend con Node.js, Python o Java, integrando bases de datos relacionales y NoSQL.</t>
  </si>
  <si>
    <t>Tema</t>
  </si>
  <si>
    <t>Numeral</t>
  </si>
  <si>
    <t>Sub Tema</t>
  </si>
  <si>
    <t>Comprender la arquitectura y despliegue de aplicaciones en la nube</t>
  </si>
  <si>
    <t>Nombre del Proyecto que abarca los conceptos impartidos</t>
  </si>
  <si>
    <t>Los estudiantes aprenderán a desplegar y gestionar aplicaciones en entornos de nube (AWS, GCE, Azure), aprovechando servicios como almacenamiento, cómputo y escalabilidad, optimizando costos y rendimiento.</t>
  </si>
  <si>
    <t>Tutor</t>
  </si>
  <si>
    <t>Implementar microservicios utilizando contenedores con Docker</t>
  </si>
  <si>
    <t>Los estudiantes deben diseñar y desarrollar arquitecturas basadas en microservicios, encapsulando cada servicio en contenedores Docker, y gestionando la comunicación entre ellos para crear aplicaciones escalables y desacopladas.</t>
  </si>
  <si>
    <t>Adoptar metodologías ágiles y prácticas DevOps en el ciclo de desarrollo</t>
  </si>
  <si>
    <t>Los estudiantes serán capaces de gestionar proyectos utilizando Scrum o Kanban, promoviendo la colaboración entre equipos y aplicando los principios de DevOps para automatizar procesos desde la planificación hasta el despliegue.</t>
  </si>
  <si>
    <t>Automatizar pipelines de CI/CD para la integración y entrega continua</t>
  </si>
  <si>
    <t>Los estudiantes aprenderán a configurar pipelines de CI/CD, implementando la automatización desde la construcción del código, pruebas automatizadas, hasta el despliegue en entornos de producción, asegurando una entrega continua.</t>
  </si>
  <si>
    <t>Orquestar contenedores y servicios con Kubernetes</t>
  </si>
  <si>
    <t>Los estudiantes deben poder utilizar Kubernetes para desplegar, escalar y gestionar aplicaciones basadas en contenedores, aprovechando las características de orquestación y alta disponibilidad que la plataforma ofrece.</t>
  </si>
  <si>
    <t>Implementar prácticas de seguridad, pruebas y monitoreo continuo</t>
  </si>
  <si>
    <t>Los estudiantes aplicarán estrategias de pruebas automatizadas, monitoreo y logging para asegurar la calidad del software, así como prácticas de seguridad en todo el ciclo de vida del desarrollo, protegiendo la aplicación y su infraestructura.</t>
  </si>
  <si>
    <t>Fundamentos de Desarrollo</t>
  </si>
  <si>
    <t>Introducción a herramientas de frontend y backend</t>
  </si>
  <si>
    <t>Mes</t>
  </si>
  <si>
    <t>Enero</t>
  </si>
  <si>
    <t>Frontend: HTML, CSS, JavaScript</t>
  </si>
  <si>
    <t>FASE I</t>
  </si>
  <si>
    <t>Mike</t>
  </si>
  <si>
    <t>Frameworks de frontend</t>
  </si>
  <si>
    <t>Backend: Node.js</t>
  </si>
  <si>
    <t>Bases de datos</t>
  </si>
  <si>
    <t>APIs REST</t>
  </si>
  <si>
    <t>Autenticación y autorización (OAuth, JWT)</t>
  </si>
  <si>
    <t>Recurso</t>
  </si>
  <si>
    <t>Presentación</t>
  </si>
  <si>
    <t>Video</t>
  </si>
  <si>
    <t>Lectura</t>
  </si>
  <si>
    <t>Ejercicio</t>
  </si>
  <si>
    <t>Metodología Ágil</t>
  </si>
  <si>
    <t>Principios de la metodología ágil</t>
  </si>
  <si>
    <t>Scrum vs. Kanban</t>
  </si>
  <si>
    <t>Roles en Scrum (Product Owner, Scrum Master, Development Team)</t>
  </si>
  <si>
    <t>Ceremonias de Scrum (Sprint Planning, Daily Standup, Sprint Review, Retrospective)</t>
  </si>
  <si>
    <t>Cuestionario</t>
  </si>
  <si>
    <t>Artefactos (Product Backlog, Sprint Backlog, Burndown charts)</t>
  </si>
  <si>
    <t>Total de Tiempo</t>
  </si>
  <si>
    <t>Historias de usuario y estimación ágil (Story Points)</t>
  </si>
  <si>
    <t>Total Ponderación</t>
  </si>
  <si>
    <t>Nubes (AWS, GCE, Azure)</t>
  </si>
  <si>
    <t>Computación en la nube: Modelos de servicio (IaaS, PaaS, SaaS)</t>
  </si>
  <si>
    <t>Tiempo aproximado</t>
  </si>
  <si>
    <t>Introducción a AWS (EC2, S3, RDS, Lambda)</t>
  </si>
  <si>
    <t>Introducción a GCP (Compute Engine, Cloud Storage, Cloud Functions)</t>
  </si>
  <si>
    <t>Introducción a Azure (Virtual Machines, Blob Storage, App Services)</t>
  </si>
  <si>
    <t>Costos y escalabilidad en la nube</t>
  </si>
  <si>
    <t>Configuración de entornos de desarrollo en la nube</t>
  </si>
  <si>
    <t>Despliegue de aplicaciones en la nube</t>
  </si>
  <si>
    <t>Docker</t>
  </si>
  <si>
    <t>Ponderación</t>
  </si>
  <si>
    <t>Conceptos básicos de contenedores</t>
  </si>
  <si>
    <t>Instalación de Docker</t>
  </si>
  <si>
    <t>Imágenes y contenedores</t>
  </si>
  <si>
    <t>Dockerfile y construcción de imágenes personalizadas</t>
  </si>
  <si>
    <t>Volúmenes y redes en Docker</t>
  </si>
  <si>
    <t>Docker Compose para gestión de múltiples contenedores</t>
  </si>
  <si>
    <t>Registro de imágenes (DockerHub, ECR, GCR)</t>
  </si>
  <si>
    <t>Arquitectura de Software, Orquestación, Cultura DevOps</t>
  </si>
  <si>
    <t>X</t>
  </si>
  <si>
    <t>Microservicios</t>
  </si>
  <si>
    <t>Introducción a la arquitectura de microservicios</t>
  </si>
  <si>
    <t>Comparación entre monolitos y microservicios</t>
  </si>
  <si>
    <t>Diseño de microservicios (Principios SOLID)</t>
  </si>
  <si>
    <t>Comunicación entre microservicios (HTTP, gRPC, eventos)</t>
  </si>
  <si>
    <t>Patrones de diseño en microservicios (Saga, Circuit Breaker)</t>
  </si>
  <si>
    <t>Implementación de APIs RESTful con microservicios</t>
  </si>
  <si>
    <t>Despliegue de microservicios con Docker</t>
  </si>
  <si>
    <t>Kubernetes</t>
  </si>
  <si>
    <t>Conceptos básicos de Kubernetes</t>
  </si>
  <si>
    <t>Instalación de Kubernetes (Minikube, K3s, Kubernetes en la nube)</t>
  </si>
  <si>
    <t>Pods, Servicios y Deployments</t>
  </si>
  <si>
    <t>ConfigMaps y Secrets</t>
  </si>
  <si>
    <t>Gestión de almacenamiento en Kubernetes (Persistent Volumes)</t>
  </si>
  <si>
    <t>Introducción a DevOps</t>
  </si>
  <si>
    <t>Qué es DevOps y por qué es importante</t>
  </si>
  <si>
    <t>FASE II</t>
  </si>
  <si>
    <t>Cultura DevOps (colaboración y automatización)</t>
  </si>
  <si>
    <t>Ciclo de vida de DevOps</t>
  </si>
  <si>
    <t>Principales herramientas DevOps (Jenkins, GitLab CI, Travis CI)</t>
  </si>
  <si>
    <t>DevOps vs. otros enfoques de desarrollo (Agile, Waterfall)</t>
  </si>
  <si>
    <t>DevOps: Planificación y Codificación</t>
  </si>
  <si>
    <t>Gestión de versiones con Git y GitFlow</t>
  </si>
  <si>
    <t>Diego</t>
  </si>
  <si>
    <t>Backlog de producto y planificación ágil</t>
  </si>
  <si>
    <t>Pipeline de desarrollo: Continuous Integration (CI)</t>
  </si>
  <si>
    <t>Automatización de builds con Jenkins/Travis/GitLab CI</t>
  </si>
  <si>
    <t>Automatización de dependencias (npm, pip, Maven)</t>
  </si>
  <si>
    <t>Tiempo Total</t>
  </si>
  <si>
    <t>Devops, Testing, Entrega Continua</t>
  </si>
  <si>
    <t>Total Ponderacion</t>
  </si>
  <si>
    <t>CI/CD</t>
  </si>
  <si>
    <t>Conceptos de CI/CD</t>
  </si>
  <si>
    <t>Pipelines CI/CD</t>
  </si>
  <si>
    <t>Automatización de despliegues</t>
  </si>
  <si>
    <t>Gestión de versiones y release tagging</t>
  </si>
  <si>
    <t>Integración continua vs. entrega continua vs. despliegue continuo</t>
  </si>
  <si>
    <t>Principales herramientas CI/CD (Jenkins, CircleCI, GitLab CI)</t>
  </si>
  <si>
    <t>DevOps: Building</t>
  </si>
  <si>
    <t>Compilación automatizada de aplicaciones</t>
  </si>
  <si>
    <t>Creación de artefactos de compilación (paquetes, binarios, imágenes)</t>
  </si>
  <si>
    <t>Almacenamiento de artefactos (Artefactory, Nexus)</t>
  </si>
  <si>
    <t>Builds reproducibles y caching</t>
  </si>
  <si>
    <t>Integración de pruebas unitarias en el pipeline de construcción</t>
  </si>
  <si>
    <t>DevOps: Testing</t>
  </si>
  <si>
    <t>Tipos de pruebas en DevOps (unitarias, integración, end-to-end)</t>
  </si>
  <si>
    <t>Automatización de pruebas con frameworks (JUnit, Mocha, Jest)</t>
  </si>
  <si>
    <t>Pruebas continuas en el pipeline de CI</t>
  </si>
  <si>
    <t>Pruebas de seguridad automatizadas (SAST)</t>
  </si>
  <si>
    <t>Pruebas de carga y rendimiento (JMeter, Gatling)</t>
  </si>
  <si>
    <t>Test-Driven Development (TDD) y Behaviour-Driven Development (BDD)</t>
  </si>
  <si>
    <t>DevOps: Release &amp; Deploy</t>
  </si>
  <si>
    <t>Estrategias de despliegue (Blue-Green, Canary, Rolling Updates)</t>
  </si>
  <si>
    <t>Despliegues seguros y reversión</t>
  </si>
  <si>
    <t>Despliegue en entornos de producción (AWS, Azure, GCP)</t>
  </si>
  <si>
    <t>Infraestructura como código (Terraform, Ansible)</t>
  </si>
  <si>
    <t>Seguridad y Monitorización</t>
  </si>
  <si>
    <t>DevOps: Logging and Monitoring</t>
  </si>
  <si>
    <t>Principales herramientas de monitoreo (Prometheus, Grafana, ELK Stack)</t>
  </si>
  <si>
    <t>FASE III</t>
  </si>
  <si>
    <t>Alertas y métricas (Alertmanager, Grafana)</t>
  </si>
  <si>
    <t>Centralización de logs</t>
  </si>
  <si>
    <t>Monitoreo de aplicaciones en la nube</t>
  </si>
  <si>
    <t>Tracing distribuido (Jaeger, OpenTelemetry)</t>
  </si>
  <si>
    <t>Logging en contenedores y microservicios</t>
  </si>
  <si>
    <t>DevOps: Security</t>
  </si>
  <si>
    <t>ntroducción a DevSecOps</t>
  </si>
  <si>
    <t>Integración de seguridad en el ciclo de vida del software</t>
  </si>
  <si>
    <t>Análisis estático y dinámico de código (SAST, DAST)</t>
  </si>
  <si>
    <t>Gestión de vulnerabilidades y parches</t>
  </si>
  <si>
    <t>Escaneo de imágenes de contenedores (Clair, Trivy)</t>
  </si>
  <si>
    <t>Gestión de secretos (Vault, AWS Secrets Manager)</t>
  </si>
  <si>
    <t>Cifrado y seguridad en redes de microservicios</t>
  </si>
  <si>
    <t>Febrero</t>
  </si>
  <si>
    <t>Marzo</t>
  </si>
  <si>
    <t>Abril</t>
  </si>
  <si>
    <t>Alertas y métricas (Alert Manager, Grafana)</t>
  </si>
  <si>
    <t>Tracing distribuido (Jaeger, Open Telemetry)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</si>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</sst>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6.0"/>
      <color rgb="FF0D0D0D"/>
      <name val="Arial"/>
    </font>
    <font>
      <color theme="1"/>
      <name val="Arial"/>
    </font>
    <font>
      <sz val="12.0"/>
      <color rgb="FFFFFFFF"/>
      <name val="Arial"/>
    </font>
    <font>
      <sz val="12.0"/>
      <color theme="1"/>
      <name val="Arial"/>
    </font>
    <font>
      <b/>
      <sz val="34.0"/>
      <color theme="1"/>
      <name val="Arial"/>
    </font>
    <font>
      <sz val="12.0"/>
      <color rgb="FF1F1F1F"/>
      <name val="Arial"/>
    </font>
    <font>
      <b/>
      <sz val="22.0"/>
      <color theme="1"/>
      <name val="Arial"/>
      <scheme val="minor"/>
    </font>
    <font/>
    <font>
      <sz val="16.0"/>
      <color theme="1"/>
      <name val="Arial"/>
    </font>
    <font>
      <b/>
      <sz val="12.0"/>
      <color rgb="FFFFFFFF"/>
      <name val="Arial"/>
    </font>
    <font>
      <sz val="12.0"/>
      <color rgb="FF000000"/>
      <name val="Arial"/>
    </font>
    <font>
      <sz val="11.0"/>
      <color rgb="FF000000"/>
      <name val="Arial"/>
    </font>
    <font>
      <sz val="13.0"/>
      <color rgb="FF000000"/>
      <name val="Arial"/>
    </font>
    <font>
      <color rgb="FF000000"/>
      <name val="Arial"/>
    </font>
    <font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2" fontId="5" numFmtId="0" xfId="0" applyBorder="1" applyFill="1" applyFont="1"/>
    <xf borderId="2" fillId="2" fontId="5" numFmtId="0" xfId="0" applyAlignment="1" applyBorder="1" applyFill="1" applyFont="1">
      <alignment readingOrder="0" shrinkToFit="0" vertical="center" wrapText="1"/>
    </xf>
    <xf borderId="3" fillId="3" fontId="6" numFmtId="0" xfId="0" applyBorder="1" applyFill="1" applyFont="1"/>
    <xf borderId="1" fillId="2" fontId="5" numFmtId="0" xfId="0" applyBorder="1" applyFill="1" applyFont="1"/>
    <xf borderId="3" fillId="0" fontId="7" numFmtId="0" xfId="0" applyAlignment="1" applyBorder="1" applyFont="1">
      <alignment shrinkToFit="0" wrapText="1"/>
    </xf>
    <xf borderId="1" fillId="2" fontId="5" numFmtId="0" xfId="0" applyAlignment="1" applyBorder="1" applyFill="1" applyFont="1">
      <alignment readingOrder="0"/>
    </xf>
    <xf borderId="0" fillId="0" fontId="7" numFmtId="0" xfId="0" applyFont="1"/>
    <xf borderId="2" fillId="4" fontId="8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left" shrinkToFit="0" wrapText="1"/>
    </xf>
    <xf borderId="2" fillId="6" fontId="10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readingOrder="0" shrinkToFit="0" wrapText="1"/>
    </xf>
    <xf borderId="4" fillId="0" fontId="11" numFmtId="0" xfId="0" applyBorder="1" applyFont="1"/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5" fillId="7" fontId="6" numFmtId="0" xfId="0" applyBorder="1" applyFill="1" applyFont="1"/>
    <xf borderId="6" fillId="0" fontId="11" numFmtId="0" xfId="0" applyBorder="1" applyFont="1"/>
    <xf borderId="3" fillId="7" fontId="6" numFmtId="0" xfId="0" applyAlignment="1" applyBorder="1" applyFill="1" applyFont="1">
      <alignment shrinkToFit="0" wrapText="1"/>
    </xf>
    <xf borderId="1" fillId="3" fontId="5" numFmtId="0" xfId="0" applyBorder="1" applyFill="1" applyFont="1"/>
    <xf borderId="5" fillId="7" fontId="6" numFmtId="0" xfId="0" applyAlignment="1" applyBorder="1" applyFill="1" applyFont="1">
      <alignment horizontal="center" readingOrder="0" shrinkToFit="0" wrapText="1"/>
    </xf>
    <xf borderId="3" fillId="7" fontId="6" numFmtId="0" xfId="0" applyAlignment="1" applyBorder="1" applyFill="1" applyFont="1">
      <alignment horizontal="center"/>
    </xf>
    <xf borderId="7" fillId="7" fontId="6" numFmtId="0" xfId="0" applyAlignment="1" applyBorder="1" applyFill="1" applyFont="1">
      <alignment horizontal="center"/>
    </xf>
    <xf borderId="8" fillId="0" fontId="11" numFmtId="0" xfId="0" applyBorder="1" applyFont="1"/>
    <xf borderId="5" fillId="7" fontId="6" numFmtId="0" xfId="0" applyAlignment="1" applyBorder="1" applyFill="1" applyFont="1">
      <alignment horizontal="center" shrinkToFit="0" wrapText="1"/>
    </xf>
    <xf borderId="1" fillId="8" fontId="5" numFmtId="0" xfId="0" applyAlignment="1" applyBorder="1" applyFill="1" applyFont="1">
      <alignment vertical="bottom"/>
    </xf>
    <xf borderId="1" fillId="8" fontId="7" numFmtId="0" xfId="0" applyAlignment="1" applyBorder="1" applyFill="1" applyFont="1">
      <alignment vertical="bottom"/>
    </xf>
    <xf borderId="2" fillId="8" fontId="7" numFmtId="0" xfId="0" applyAlignment="1" applyBorder="1" applyFill="1" applyFont="1">
      <alignment vertical="bottom"/>
    </xf>
    <xf borderId="2" fillId="2" fontId="5" numFmtId="0" xfId="0" applyAlignment="1" applyBorder="1" applyFill="1" applyFont="1">
      <alignment horizontal="center" readingOrder="0" shrinkToFit="0" vertical="center" wrapText="1"/>
    </xf>
    <xf borderId="9" fillId="0" fontId="11" numFmtId="0" xfId="0" applyBorder="1" applyFont="1"/>
    <xf borderId="9" fillId="7" fontId="6" numFmtId="0" xfId="0" applyAlignment="1" applyBorder="1" applyFill="1" applyFont="1">
      <alignment horizontal="center" readingOrder="0" shrinkToFit="0" wrapText="1"/>
    </xf>
    <xf borderId="5" fillId="7" fontId="6" numFmtId="0" xfId="0" applyAlignment="1" applyBorder="1" applyFill="1" applyFont="1">
      <alignment horizontal="center"/>
    </xf>
    <xf borderId="2" fillId="8" fontId="5" numFmtId="0" xfId="0" applyAlignment="1" applyBorder="1" applyFill="1" applyFont="1">
      <alignment vertical="bottom"/>
    </xf>
    <xf borderId="10" fillId="0" fontId="11" numFmtId="0" xfId="0" applyBorder="1" applyFont="1"/>
    <xf borderId="5" fillId="7" fontId="6" numFmtId="0" xfId="0" applyAlignment="1" applyBorder="1" applyFill="1" applyFont="1">
      <alignment shrinkToFit="0" wrapText="1"/>
    </xf>
    <xf borderId="2" fillId="9" fontId="1" numFmtId="0" xfId="0" applyAlignment="1" applyBorder="1" applyFill="1" applyFont="1">
      <alignment horizontal="center" vertical="center"/>
    </xf>
    <xf borderId="1" fillId="0" fontId="7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2" fillId="9" fontId="12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/>
    </xf>
    <xf borderId="2" fillId="9" fontId="5" numFmtId="0" xfId="0" applyBorder="1" applyFill="1" applyFont="1"/>
    <xf borderId="1" fillId="0" fontId="7" numFmtId="0" xfId="0" applyAlignment="1" applyBorder="1" applyFont="1">
      <alignment horizontal="center"/>
    </xf>
    <xf borderId="2" fillId="9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Border="1" applyFill="1" applyFont="1"/>
    <xf borderId="1" fillId="9" fontId="5" numFmtId="0" xfId="0" applyAlignment="1" applyBorder="1" applyFill="1" applyFont="1">
      <alignment readingOrder="0"/>
    </xf>
    <xf borderId="1" fillId="0" fontId="5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2" fillId="10" fontId="8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readingOrder="0" shrinkToFit="0" wrapText="1"/>
    </xf>
    <xf borderId="2" fillId="11" fontId="10" numFmtId="0" xfId="0" applyAlignment="1" applyBorder="1" applyFill="1" applyFont="1">
      <alignment horizontal="center" readingOrder="0" vertical="center"/>
    </xf>
    <xf borderId="0" fillId="3" fontId="13" numFmtId="0" xfId="0" applyFill="1" applyFont="1"/>
    <xf borderId="2" fillId="12" fontId="1" numFmtId="0" xfId="0" applyAlignment="1" applyBorder="1" applyFill="1" applyFont="1">
      <alignment horizontal="center" vertical="center"/>
    </xf>
    <xf borderId="2" fillId="12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2" fillId="12" fontId="5" numFmtId="0" xfId="0" applyBorder="1" applyFill="1" applyFont="1"/>
    <xf borderId="0" fillId="0" fontId="7" numFmtId="0" xfId="0" applyAlignment="1" applyFont="1">
      <alignment shrinkToFit="0" vertical="bottom" wrapText="1"/>
    </xf>
    <xf borderId="2" fillId="12" fontId="5" numFmtId="0" xfId="0" applyAlignment="1" applyBorder="1" applyFill="1" applyFont="1">
      <alignment horizontal="center" readingOrder="0" shrinkToFit="0" vertical="center" wrapText="1"/>
    </xf>
    <xf borderId="1" fillId="12" fontId="5" numFmtId="0" xfId="0" applyBorder="1" applyFill="1" applyFont="1"/>
    <xf borderId="0" fillId="0" fontId="7" numFmtId="0" xfId="0" applyAlignment="1" applyFont="1">
      <alignment horizontal="right" vertical="bottom"/>
    </xf>
    <xf borderId="1" fillId="12" fontId="5" numFmtId="0" xfId="0" applyAlignment="1" applyBorder="1" applyFill="1" applyFont="1">
      <alignment readingOrder="0"/>
    </xf>
    <xf borderId="3" fillId="0" fontId="7" numFmtId="0" xfId="0" applyAlignment="1" applyBorder="1" applyFont="1">
      <alignment readingOrder="0" shrinkToFit="0" wrapText="1"/>
    </xf>
    <xf borderId="3" fillId="5" fontId="9" numFmtId="0" xfId="0" applyAlignment="1" applyBorder="1" applyFill="1" applyFont="1">
      <alignment horizontal="left" readingOrder="0" shrinkToFit="0" wrapText="1"/>
    </xf>
    <xf borderId="2" fillId="13" fontId="1" numFmtId="0" xfId="0" applyAlignment="1" applyBorder="1" applyFill="1" applyFont="1">
      <alignment horizontal="center" vertical="center"/>
    </xf>
    <xf borderId="2" fillId="13" fontId="12" numFmtId="0" xfId="0" applyAlignment="1" applyBorder="1" applyFill="1" applyFont="1">
      <alignment horizontal="center" readingOrder="0" vertical="center"/>
    </xf>
    <xf borderId="2" fillId="13" fontId="5" numFmtId="0" xfId="0" applyBorder="1" applyFill="1" applyFont="1"/>
    <xf borderId="2" fillId="13" fontId="5" numFmtId="0" xfId="0" applyAlignment="1" applyBorder="1" applyFill="1" applyFont="1">
      <alignment horizontal="center" readingOrder="0" shrinkToFit="0" vertical="center" wrapText="1"/>
    </xf>
    <xf borderId="1" fillId="13" fontId="5" numFmtId="0" xfId="0" applyBorder="1" applyFill="1" applyFont="1"/>
    <xf borderId="1" fillId="13" fontId="5" numFmtId="0" xfId="0" applyAlignment="1" applyBorder="1" applyFill="1" applyFont="1">
      <alignment readingOrder="0"/>
    </xf>
    <xf borderId="2" fillId="14" fontId="8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shrinkToFit="0" wrapText="1"/>
    </xf>
    <xf borderId="1" fillId="0" fontId="7" numFmtId="0" xfId="0" applyAlignment="1" applyBorder="1" applyFont="1">
      <alignment readingOrder="0"/>
    </xf>
    <xf borderId="3" fillId="3" fontId="6" numFmtId="0" xfId="0" applyAlignment="1" applyBorder="1" applyFill="1" applyFont="1">
      <alignment vertical="bottom"/>
    </xf>
    <xf borderId="3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3" fillId="5" fontId="9" numFmtId="0" xfId="0" applyAlignment="1" applyBorder="1" applyFill="1" applyFont="1">
      <alignment horizontal="left" readingOrder="0" shrinkToFit="0" vertical="bottom" wrapText="1"/>
    </xf>
    <xf borderId="3" fillId="5" fontId="7" numFmtId="0" xfId="0" applyAlignment="1" applyBorder="1" applyFill="1" applyFont="1">
      <alignment readingOrder="0" vertical="bottom"/>
    </xf>
    <xf borderId="0" fillId="0" fontId="7" numFmtId="0" xfId="0" applyAlignment="1" applyFont="1">
      <alignment readingOrder="0" vertical="bottom"/>
    </xf>
    <xf borderId="5" fillId="7" fontId="6" numFmtId="0" xfId="0" applyAlignment="1" applyBorder="1" applyFill="1" applyFont="1">
      <alignment vertical="bottom"/>
    </xf>
    <xf borderId="3" fillId="7" fontId="6" numFmtId="0" xfId="0" applyAlignment="1" applyBorder="1" applyFill="1" applyFont="1">
      <alignment shrinkToFit="0" vertical="bottom" wrapText="1"/>
    </xf>
    <xf borderId="5" fillId="7" fontId="6" numFmtId="0" xfId="0" applyAlignment="1" applyBorder="1" applyFill="1" applyFont="1">
      <alignment horizontal="center" shrinkToFit="0" vertical="bottom" wrapText="1"/>
    </xf>
    <xf borderId="3" fillId="7" fontId="6" numFmtId="0" xfId="0" applyAlignment="1" applyBorder="1" applyFill="1" applyFont="1">
      <alignment horizontal="center" vertical="bottom"/>
    </xf>
    <xf borderId="7" fillId="7" fontId="6" numFmtId="0" xfId="0" applyAlignment="1" applyBorder="1" applyFill="1" applyFont="1">
      <alignment horizontal="center" vertical="bottom"/>
    </xf>
    <xf borderId="9" fillId="7" fontId="6" numFmtId="0" xfId="0" applyAlignment="1" applyBorder="1" applyFill="1" applyFont="1">
      <alignment horizontal="center" shrinkToFit="0" vertical="bottom" wrapText="1"/>
    </xf>
    <xf borderId="5" fillId="7" fontId="6" numFmtId="0" xfId="0" applyAlignment="1" applyBorder="1" applyFill="1" applyFont="1">
      <alignment horizontal="center" vertical="bottom"/>
    </xf>
    <xf borderId="5" fillId="7" fontId="6" numFmtId="0" xfId="0" applyAlignment="1" applyBorder="1" applyFill="1" applyFont="1">
      <alignment shrinkToFit="0" vertical="bottom" wrapText="1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0" fillId="3" fontId="13" numFmtId="0" xfId="0" applyAlignment="1" applyFill="1" applyFont="1">
      <alignment vertical="bottom"/>
    </xf>
    <xf borderId="0" fillId="3" fontId="13" numFmtId="0" xfId="0" applyAlignment="1" applyFill="1" applyFont="1">
      <alignment horizontal="right" vertical="bottom"/>
    </xf>
    <xf borderId="1" fillId="0" fontId="14" numFmtId="0" xfId="0" applyAlignment="1" applyBorder="1" applyFont="1">
      <alignment horizontal="right" readingOrder="0" shrinkToFit="0" wrapText="1"/>
    </xf>
    <xf borderId="1" fillId="0" fontId="15" numFmtId="0" xfId="0" applyAlignment="1" applyBorder="1" applyFont="1">
      <alignment horizontal="left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vertical="bottom"/>
    </xf>
    <xf borderId="1" fillId="0" fontId="14" numFmtId="0" xfId="0" applyAlignment="1" applyBorder="1" applyFont="1">
      <alignment horizontal="left" readingOrder="0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3" fontId="13" numFmtId="0" xfId="0" applyAlignment="1" applyFill="1" applyFont="1">
      <alignment horizontal="right" vertical="bottom"/>
    </xf>
    <xf borderId="0" fillId="0" fontId="18" numFmtId="0" xfId="0" applyFont="1"/>
    <xf borderId="3" fillId="3" fontId="6" numFmtId="0" xfId="0" applyAlignment="1" applyBorder="1" applyFill="1" applyFont="1">
      <alignment vertical="bottom"/>
    </xf>
    <xf borderId="5" fillId="7" fontId="6" numFmtId="0" xfId="0" applyAlignment="1" applyBorder="1" applyFill="1" applyFont="1">
      <alignment vertical="bottom"/>
    </xf>
    <xf borderId="3" fillId="7" fontId="6" numFmtId="0" xfId="0" applyAlignment="1" applyBorder="1" applyFill="1" applyFont="1">
      <alignment shrinkToFit="0" vertical="bottom" wrapText="1"/>
    </xf>
    <xf borderId="5" fillId="7" fontId="6" numFmtId="0" xfId="0" applyAlignment="1" applyBorder="1" applyFill="1" applyFont="1">
      <alignment horizontal="center" shrinkToFit="0" vertical="bottom" wrapText="1"/>
    </xf>
    <xf borderId="3" fillId="7" fontId="6" numFmtId="0" xfId="0" applyAlignment="1" applyBorder="1" applyFill="1" applyFont="1">
      <alignment horizontal="center" vertical="bottom"/>
    </xf>
    <xf borderId="7" fillId="7" fontId="6" numFmtId="0" xfId="0" applyAlignment="1" applyBorder="1" applyFill="1" applyFont="1">
      <alignment horizontal="center" vertical="bottom"/>
    </xf>
    <xf borderId="9" fillId="7" fontId="6" numFmtId="0" xfId="0" applyAlignment="1" applyBorder="1" applyFill="1" applyFont="1">
      <alignment horizontal="center" shrinkToFit="0" vertical="bottom" wrapText="1"/>
    </xf>
    <xf borderId="5" fillId="7" fontId="6" numFmtId="0" xfId="0" applyAlignment="1" applyBorder="1" applyFill="1" applyFont="1">
      <alignment horizontal="center" vertical="bottom"/>
    </xf>
    <xf borderId="5" fillId="7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7.13"/>
  </cols>
  <sheetData>
    <row r="1">
      <c r="A1" s="2" t="s">
        <v>0</v>
      </c>
      <c r="B1" s="2" t="s">
        <v>3</v>
      </c>
      <c r="C1" s="2" t="s">
        <v>4</v>
      </c>
    </row>
    <row r="2">
      <c r="A2" s="2">
        <v>1.0</v>
      </c>
      <c r="B2" s="4" t="s">
        <v>5</v>
      </c>
      <c r="C2" s="6" t="s">
        <v>7</v>
      </c>
    </row>
    <row r="3">
      <c r="A3" s="2">
        <v>2.0</v>
      </c>
      <c r="B3" s="4" t="s">
        <v>11</v>
      </c>
      <c r="C3" s="6" t="s">
        <v>13</v>
      </c>
    </row>
    <row r="4">
      <c r="A4" s="2">
        <v>3.0</v>
      </c>
      <c r="B4" s="4" t="s">
        <v>15</v>
      </c>
      <c r="C4" s="6" t="s">
        <v>16</v>
      </c>
    </row>
    <row r="5">
      <c r="A5" s="2">
        <v>4.0</v>
      </c>
      <c r="B5" s="4" t="s">
        <v>17</v>
      </c>
      <c r="C5" s="6" t="s">
        <v>18</v>
      </c>
    </row>
    <row r="6">
      <c r="A6" s="2">
        <v>5.0</v>
      </c>
      <c r="B6" s="4" t="s">
        <v>19</v>
      </c>
      <c r="C6" s="6" t="s">
        <v>20</v>
      </c>
    </row>
    <row r="7">
      <c r="A7" s="2">
        <v>6.0</v>
      </c>
      <c r="B7" s="4" t="s">
        <v>21</v>
      </c>
      <c r="C7" s="6" t="s">
        <v>22</v>
      </c>
    </row>
    <row r="8">
      <c r="A8" s="2">
        <v>7.0</v>
      </c>
      <c r="B8" s="4" t="s">
        <v>23</v>
      </c>
      <c r="C8" s="6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3.63"/>
    <col customWidth="1" min="3" max="3" width="15.88"/>
    <col customWidth="1" min="4" max="5" width="12.63"/>
    <col customWidth="1" min="6" max="6" width="64.0"/>
    <col customWidth="1" min="7" max="7" width="47.63"/>
  </cols>
  <sheetData>
    <row r="1">
      <c r="A1" s="1" t="s">
        <v>1</v>
      </c>
      <c r="B1" s="3" t="s">
        <v>2</v>
      </c>
      <c r="C1" s="5" t="s">
        <v>6</v>
      </c>
      <c r="D1" s="1" t="s">
        <v>8</v>
      </c>
      <c r="E1" s="1" t="s">
        <v>9</v>
      </c>
      <c r="F1" s="1" t="s">
        <v>10</v>
      </c>
      <c r="G1" s="1" t="s">
        <v>12</v>
      </c>
      <c r="H1" s="7" t="s">
        <v>14</v>
      </c>
    </row>
    <row r="2">
      <c r="A2" s="8">
        <v>1.0</v>
      </c>
      <c r="B2" s="9" t="s">
        <v>25</v>
      </c>
      <c r="C2" s="10">
        <v>1.0</v>
      </c>
      <c r="D2" s="11" t="s">
        <v>26</v>
      </c>
      <c r="E2" s="13">
        <v>1.0</v>
      </c>
      <c r="F2" s="15" t="s">
        <v>29</v>
      </c>
      <c r="G2" s="17" t="s">
        <v>30</v>
      </c>
      <c r="H2" s="19" t="s">
        <v>31</v>
      </c>
    </row>
    <row r="3">
      <c r="A3" s="21"/>
      <c r="B3" s="21"/>
      <c r="C3" s="21"/>
      <c r="D3" s="21"/>
      <c r="E3" s="13">
        <v>2.0</v>
      </c>
      <c r="F3" s="15" t="s">
        <v>32</v>
      </c>
      <c r="G3" s="21"/>
      <c r="H3" s="21"/>
    </row>
    <row r="4">
      <c r="A4" s="21"/>
      <c r="B4" s="21"/>
      <c r="C4" s="21"/>
      <c r="D4" s="21"/>
      <c r="E4" s="13">
        <v>3.0</v>
      </c>
      <c r="F4" s="15" t="s">
        <v>33</v>
      </c>
      <c r="G4" s="21"/>
      <c r="H4" s="21"/>
    </row>
    <row r="5">
      <c r="A5" s="21"/>
      <c r="B5" s="21"/>
      <c r="C5" s="21"/>
      <c r="D5" s="21"/>
      <c r="E5" s="13">
        <v>4.0</v>
      </c>
      <c r="F5" s="15" t="s">
        <v>34</v>
      </c>
      <c r="G5" s="21"/>
      <c r="H5" s="21"/>
    </row>
    <row r="6">
      <c r="A6" s="21"/>
      <c r="B6" s="21"/>
      <c r="C6" s="21"/>
      <c r="D6" s="21"/>
      <c r="E6" s="13">
        <v>5.0</v>
      </c>
      <c r="F6" s="15" t="s">
        <v>35</v>
      </c>
      <c r="G6" s="21"/>
      <c r="H6" s="21"/>
    </row>
    <row r="7">
      <c r="A7" s="21"/>
      <c r="B7" s="21"/>
      <c r="C7" s="21"/>
      <c r="D7" s="21"/>
      <c r="E7" s="13">
        <v>6.0</v>
      </c>
      <c r="F7" s="15" t="s">
        <v>36</v>
      </c>
      <c r="G7" s="21"/>
      <c r="H7" s="21"/>
    </row>
    <row r="8">
      <c r="A8" s="21"/>
      <c r="B8" s="21"/>
      <c r="C8" s="25"/>
      <c r="D8" s="25"/>
      <c r="E8" s="13">
        <v>7.0</v>
      </c>
      <c r="F8" s="27"/>
      <c r="G8" s="21"/>
      <c r="H8" s="21"/>
    </row>
    <row r="9">
      <c r="A9" s="21"/>
      <c r="B9" s="21"/>
      <c r="C9" s="10">
        <v>2.0</v>
      </c>
      <c r="D9" s="11" t="s">
        <v>42</v>
      </c>
      <c r="E9" s="13">
        <v>1.0</v>
      </c>
      <c r="F9" s="15" t="s">
        <v>43</v>
      </c>
      <c r="G9" s="21"/>
      <c r="H9" s="21"/>
    </row>
    <row r="10">
      <c r="A10" s="21"/>
      <c r="B10" s="21"/>
      <c r="C10" s="21"/>
      <c r="D10" s="21"/>
      <c r="E10" s="13">
        <v>2.0</v>
      </c>
      <c r="F10" s="15" t="s">
        <v>44</v>
      </c>
      <c r="G10" s="21"/>
      <c r="H10" s="21"/>
    </row>
    <row r="11">
      <c r="A11" s="21"/>
      <c r="B11" s="21"/>
      <c r="C11" s="21"/>
      <c r="D11" s="21"/>
      <c r="E11" s="13">
        <v>3.0</v>
      </c>
      <c r="F11" s="15" t="s">
        <v>45</v>
      </c>
      <c r="G11" s="21"/>
      <c r="H11" s="21"/>
    </row>
    <row r="12">
      <c r="A12" s="21"/>
      <c r="B12" s="21"/>
      <c r="C12" s="21"/>
      <c r="D12" s="21"/>
      <c r="E12" s="13">
        <v>4.0</v>
      </c>
      <c r="F12" s="15" t="s">
        <v>46</v>
      </c>
      <c r="G12" s="21"/>
      <c r="H12" s="21"/>
    </row>
    <row r="13">
      <c r="A13" s="21"/>
      <c r="B13" s="21"/>
      <c r="C13" s="21"/>
      <c r="D13" s="21"/>
      <c r="E13" s="13">
        <v>5.0</v>
      </c>
      <c r="F13" s="15" t="s">
        <v>48</v>
      </c>
      <c r="G13" s="21"/>
      <c r="H13" s="21"/>
    </row>
    <row r="14">
      <c r="A14" s="21"/>
      <c r="B14" s="21"/>
      <c r="C14" s="21"/>
      <c r="D14" s="21"/>
      <c r="E14" s="13">
        <v>6.0</v>
      </c>
      <c r="F14" s="15" t="s">
        <v>50</v>
      </c>
      <c r="G14" s="21"/>
      <c r="H14" s="21"/>
    </row>
    <row r="15">
      <c r="A15" s="21"/>
      <c r="B15" s="21"/>
      <c r="C15" s="25"/>
      <c r="D15" s="25"/>
      <c r="E15" s="13">
        <v>7.0</v>
      </c>
      <c r="F15" s="27"/>
      <c r="G15" s="21"/>
      <c r="H15" s="21"/>
    </row>
    <row r="16">
      <c r="A16" s="21"/>
      <c r="B16" s="21"/>
      <c r="C16" s="10">
        <v>3.0</v>
      </c>
      <c r="D16" s="36" t="s">
        <v>52</v>
      </c>
      <c r="E16" s="13">
        <v>1.0</v>
      </c>
      <c r="F16" s="15" t="s">
        <v>53</v>
      </c>
      <c r="G16" s="21"/>
      <c r="H16" s="21"/>
    </row>
    <row r="17">
      <c r="A17" s="21"/>
      <c r="B17" s="21"/>
      <c r="C17" s="21"/>
      <c r="D17" s="21"/>
      <c r="E17" s="13">
        <v>2.0</v>
      </c>
      <c r="F17" s="15" t="s">
        <v>55</v>
      </c>
      <c r="G17" s="21"/>
      <c r="H17" s="21"/>
    </row>
    <row r="18">
      <c r="A18" s="21"/>
      <c r="B18" s="21"/>
      <c r="C18" s="21"/>
      <c r="D18" s="21"/>
      <c r="E18" s="13">
        <v>3.0</v>
      </c>
      <c r="F18" s="15" t="s">
        <v>56</v>
      </c>
      <c r="G18" s="21"/>
      <c r="H18" s="21"/>
    </row>
    <row r="19">
      <c r="A19" s="21"/>
      <c r="B19" s="21"/>
      <c r="C19" s="21"/>
      <c r="D19" s="21"/>
      <c r="E19" s="13">
        <v>4.0</v>
      </c>
      <c r="F19" s="15" t="s">
        <v>57</v>
      </c>
      <c r="G19" s="21"/>
      <c r="H19" s="21"/>
    </row>
    <row r="20">
      <c r="A20" s="21"/>
      <c r="B20" s="21"/>
      <c r="C20" s="21"/>
      <c r="D20" s="21"/>
      <c r="E20" s="13">
        <v>5.0</v>
      </c>
      <c r="F20" s="15" t="s">
        <v>58</v>
      </c>
      <c r="G20" s="21"/>
      <c r="H20" s="21"/>
    </row>
    <row r="21">
      <c r="A21" s="21"/>
      <c r="B21" s="21"/>
      <c r="C21" s="21"/>
      <c r="D21" s="21"/>
      <c r="E21" s="13">
        <v>6.0</v>
      </c>
      <c r="F21" s="15" t="s">
        <v>59</v>
      </c>
      <c r="G21" s="21"/>
      <c r="H21" s="21"/>
    </row>
    <row r="22">
      <c r="A22" s="21"/>
      <c r="B22" s="21"/>
      <c r="C22" s="25"/>
      <c r="D22" s="25"/>
      <c r="E22" s="13">
        <v>7.0</v>
      </c>
      <c r="F22" s="15" t="s">
        <v>60</v>
      </c>
      <c r="G22" s="21"/>
      <c r="H22" s="21"/>
    </row>
    <row r="23">
      <c r="A23" s="21"/>
      <c r="B23" s="21"/>
      <c r="C23" s="10">
        <v>4.0</v>
      </c>
      <c r="D23" s="36" t="s">
        <v>61</v>
      </c>
      <c r="E23" s="13">
        <v>1.0</v>
      </c>
      <c r="F23" s="15" t="s">
        <v>63</v>
      </c>
      <c r="G23" s="21"/>
      <c r="H23" s="21"/>
    </row>
    <row r="24">
      <c r="A24" s="21"/>
      <c r="B24" s="21"/>
      <c r="C24" s="21"/>
      <c r="D24" s="21"/>
      <c r="E24" s="13">
        <v>2.0</v>
      </c>
      <c r="F24" s="15" t="s">
        <v>64</v>
      </c>
      <c r="G24" s="21"/>
      <c r="H24" s="21"/>
    </row>
    <row r="25">
      <c r="A25" s="21"/>
      <c r="B25" s="21"/>
      <c r="C25" s="21"/>
      <c r="D25" s="21"/>
      <c r="E25" s="13">
        <v>3.0</v>
      </c>
      <c r="F25" s="15" t="s">
        <v>65</v>
      </c>
      <c r="G25" s="21"/>
      <c r="H25" s="21"/>
    </row>
    <row r="26">
      <c r="A26" s="21"/>
      <c r="B26" s="21"/>
      <c r="C26" s="21"/>
      <c r="D26" s="21"/>
      <c r="E26" s="13">
        <v>4.0</v>
      </c>
      <c r="F26" s="15" t="s">
        <v>66</v>
      </c>
      <c r="G26" s="21"/>
      <c r="H26" s="21"/>
    </row>
    <row r="27">
      <c r="A27" s="21"/>
      <c r="B27" s="21"/>
      <c r="C27" s="21"/>
      <c r="D27" s="21"/>
      <c r="E27" s="13">
        <v>5.0</v>
      </c>
      <c r="F27" s="15" t="s">
        <v>67</v>
      </c>
      <c r="G27" s="21"/>
      <c r="H27" s="21"/>
    </row>
    <row r="28">
      <c r="A28" s="21"/>
      <c r="B28" s="21"/>
      <c r="C28" s="21"/>
      <c r="D28" s="21"/>
      <c r="E28" s="13">
        <v>6.0</v>
      </c>
      <c r="F28" s="15" t="s">
        <v>68</v>
      </c>
      <c r="G28" s="21"/>
      <c r="H28" s="21"/>
    </row>
    <row r="29">
      <c r="A29" s="25"/>
      <c r="B29" s="25"/>
      <c r="C29" s="25"/>
      <c r="D29" s="25"/>
      <c r="E29" s="13">
        <v>7.0</v>
      </c>
      <c r="F29" s="15" t="s">
        <v>69</v>
      </c>
      <c r="G29" s="21"/>
      <c r="H29" s="21"/>
    </row>
    <row r="30">
      <c r="A30" s="43">
        <v>2.0</v>
      </c>
      <c r="B30" s="46" t="s">
        <v>70</v>
      </c>
      <c r="C30" s="48">
        <v>5.0</v>
      </c>
      <c r="D30" s="50" t="s">
        <v>72</v>
      </c>
      <c r="E30" s="51">
        <v>1.0</v>
      </c>
      <c r="F30" s="52" t="s">
        <v>73</v>
      </c>
      <c r="G30" s="21"/>
      <c r="H30" s="21"/>
    </row>
    <row r="31">
      <c r="A31" s="21"/>
      <c r="B31" s="21"/>
      <c r="C31" s="21"/>
      <c r="D31" s="21"/>
      <c r="E31" s="51">
        <v>2.0</v>
      </c>
      <c r="F31" s="52" t="s">
        <v>74</v>
      </c>
      <c r="G31" s="21"/>
      <c r="H31" s="21"/>
    </row>
    <row r="32">
      <c r="A32" s="21"/>
      <c r="B32" s="21"/>
      <c r="C32" s="21"/>
      <c r="D32" s="21"/>
      <c r="E32" s="51">
        <v>3.0</v>
      </c>
      <c r="F32" s="52" t="s">
        <v>75</v>
      </c>
      <c r="G32" s="21"/>
      <c r="H32" s="21"/>
    </row>
    <row r="33">
      <c r="A33" s="21"/>
      <c r="B33" s="21"/>
      <c r="C33" s="21"/>
      <c r="D33" s="21"/>
      <c r="E33" s="51">
        <v>4.0</v>
      </c>
      <c r="F33" s="52" t="s">
        <v>76</v>
      </c>
      <c r="G33" s="21"/>
      <c r="H33" s="21"/>
    </row>
    <row r="34">
      <c r="A34" s="21"/>
      <c r="B34" s="21"/>
      <c r="C34" s="21"/>
      <c r="D34" s="21"/>
      <c r="E34" s="51">
        <v>5.0</v>
      </c>
      <c r="F34" s="52" t="s">
        <v>77</v>
      </c>
      <c r="G34" s="21"/>
      <c r="H34" s="21"/>
    </row>
    <row r="35">
      <c r="A35" s="21"/>
      <c r="B35" s="21"/>
      <c r="C35" s="21"/>
      <c r="D35" s="21"/>
      <c r="E35" s="51">
        <v>6.0</v>
      </c>
      <c r="F35" s="52" t="s">
        <v>78</v>
      </c>
      <c r="G35" s="21"/>
      <c r="H35" s="21"/>
    </row>
    <row r="36">
      <c r="A36" s="21"/>
      <c r="B36" s="21"/>
      <c r="C36" s="25"/>
      <c r="D36" s="25"/>
      <c r="E36" s="51">
        <v>7.0</v>
      </c>
      <c r="F36" s="52" t="s">
        <v>79</v>
      </c>
      <c r="G36" s="21"/>
      <c r="H36" s="21"/>
    </row>
    <row r="37">
      <c r="A37" s="21"/>
      <c r="B37" s="21"/>
      <c r="C37" s="48">
        <v>6.0</v>
      </c>
      <c r="D37" s="50" t="s">
        <v>80</v>
      </c>
      <c r="E37" s="51">
        <v>1.0</v>
      </c>
      <c r="F37" s="52" t="s">
        <v>81</v>
      </c>
      <c r="G37" s="21"/>
      <c r="H37" s="21"/>
    </row>
    <row r="38">
      <c r="A38" s="21"/>
      <c r="B38" s="21"/>
      <c r="C38" s="21"/>
      <c r="D38" s="21"/>
      <c r="E38" s="51">
        <v>2.0</v>
      </c>
      <c r="F38" s="52" t="s">
        <v>82</v>
      </c>
      <c r="G38" s="21"/>
      <c r="H38" s="21"/>
    </row>
    <row r="39">
      <c r="A39" s="21"/>
      <c r="B39" s="21"/>
      <c r="C39" s="21"/>
      <c r="D39" s="21"/>
      <c r="E39" s="51">
        <v>3.0</v>
      </c>
      <c r="F39" s="52" t="s">
        <v>83</v>
      </c>
      <c r="G39" s="21"/>
      <c r="H39" s="21"/>
    </row>
    <row r="40">
      <c r="A40" s="21"/>
      <c r="B40" s="21"/>
      <c r="C40" s="21"/>
      <c r="D40" s="21"/>
      <c r="E40" s="51">
        <v>4.0</v>
      </c>
      <c r="F40" s="52" t="s">
        <v>84</v>
      </c>
      <c r="G40" s="21"/>
      <c r="H40" s="21"/>
    </row>
    <row r="41">
      <c r="A41" s="21"/>
      <c r="B41" s="21"/>
      <c r="C41" s="21"/>
      <c r="D41" s="21"/>
      <c r="E41" s="51">
        <v>5.0</v>
      </c>
      <c r="F41" s="52" t="s">
        <v>85</v>
      </c>
      <c r="G41" s="21"/>
      <c r="H41" s="21"/>
    </row>
    <row r="42">
      <c r="A42" s="21"/>
      <c r="B42" s="21"/>
      <c r="C42" s="21"/>
      <c r="D42" s="21"/>
      <c r="E42" s="51">
        <v>6.0</v>
      </c>
      <c r="F42" s="27"/>
      <c r="G42" s="21"/>
      <c r="H42" s="21"/>
    </row>
    <row r="43">
      <c r="A43" s="21"/>
      <c r="B43" s="21"/>
      <c r="C43" s="25"/>
      <c r="D43" s="25"/>
      <c r="E43" s="51">
        <v>7.0</v>
      </c>
      <c r="F43" s="27"/>
      <c r="G43" s="25"/>
      <c r="H43" s="21"/>
    </row>
    <row r="44">
      <c r="A44" s="21"/>
      <c r="B44" s="21"/>
      <c r="C44" s="48">
        <v>7.0</v>
      </c>
      <c r="D44" s="50" t="s">
        <v>86</v>
      </c>
      <c r="E44" s="51">
        <v>1.0</v>
      </c>
      <c r="F44" s="52" t="s">
        <v>87</v>
      </c>
      <c r="G44" s="55" t="s">
        <v>88</v>
      </c>
      <c r="H44" s="21"/>
    </row>
    <row r="45">
      <c r="A45" s="21"/>
      <c r="B45" s="21"/>
      <c r="C45" s="21"/>
      <c r="D45" s="21"/>
      <c r="E45" s="51">
        <v>2.0</v>
      </c>
      <c r="F45" s="52" t="s">
        <v>89</v>
      </c>
      <c r="G45" s="21"/>
      <c r="H45" s="21"/>
    </row>
    <row r="46">
      <c r="A46" s="21"/>
      <c r="B46" s="21"/>
      <c r="C46" s="21"/>
      <c r="D46" s="21"/>
      <c r="E46" s="51">
        <v>3.0</v>
      </c>
      <c r="F46" s="52" t="s">
        <v>90</v>
      </c>
      <c r="G46" s="21"/>
      <c r="H46" s="21"/>
    </row>
    <row r="47">
      <c r="A47" s="21"/>
      <c r="B47" s="21"/>
      <c r="C47" s="21"/>
      <c r="D47" s="21"/>
      <c r="E47" s="51">
        <v>4.0</v>
      </c>
      <c r="F47" s="52" t="s">
        <v>91</v>
      </c>
      <c r="G47" s="21"/>
      <c r="H47" s="21"/>
    </row>
    <row r="48">
      <c r="A48" s="21"/>
      <c r="B48" s="21"/>
      <c r="C48" s="21"/>
      <c r="D48" s="21"/>
      <c r="E48" s="51">
        <v>5.0</v>
      </c>
      <c r="F48" s="52" t="s">
        <v>92</v>
      </c>
      <c r="G48" s="21"/>
      <c r="H48" s="21"/>
    </row>
    <row r="49">
      <c r="A49" s="21"/>
      <c r="B49" s="21"/>
      <c r="C49" s="21"/>
      <c r="D49" s="21"/>
      <c r="E49" s="51">
        <v>6.0</v>
      </c>
      <c r="F49" s="27"/>
      <c r="G49" s="21"/>
      <c r="H49" s="21"/>
    </row>
    <row r="50">
      <c r="A50" s="21"/>
      <c r="B50" s="21"/>
      <c r="C50" s="25"/>
      <c r="D50" s="25"/>
      <c r="E50" s="51">
        <v>7.0</v>
      </c>
      <c r="F50" s="27"/>
      <c r="G50" s="21"/>
      <c r="H50" s="25"/>
    </row>
    <row r="51">
      <c r="A51" s="21"/>
      <c r="B51" s="21"/>
      <c r="C51" s="48">
        <v>8.0</v>
      </c>
      <c r="D51" s="50" t="s">
        <v>93</v>
      </c>
      <c r="E51" s="51">
        <v>1.0</v>
      </c>
      <c r="F51" s="52" t="s">
        <v>94</v>
      </c>
      <c r="G51" s="21"/>
      <c r="H51" s="57" t="s">
        <v>95</v>
      </c>
    </row>
    <row r="52">
      <c r="A52" s="21"/>
      <c r="B52" s="21"/>
      <c r="C52" s="21"/>
      <c r="D52" s="21"/>
      <c r="E52" s="51">
        <v>2.0</v>
      </c>
      <c r="F52" s="52" t="s">
        <v>96</v>
      </c>
      <c r="G52" s="21"/>
      <c r="H52" s="21"/>
    </row>
    <row r="53">
      <c r="A53" s="21"/>
      <c r="B53" s="21"/>
      <c r="C53" s="21"/>
      <c r="D53" s="21"/>
      <c r="E53" s="51">
        <v>3.0</v>
      </c>
      <c r="F53" s="52" t="s">
        <v>97</v>
      </c>
      <c r="G53" s="21"/>
      <c r="H53" s="21"/>
    </row>
    <row r="54">
      <c r="A54" s="21"/>
      <c r="B54" s="21"/>
      <c r="C54" s="21"/>
      <c r="D54" s="21"/>
      <c r="E54" s="51">
        <v>4.0</v>
      </c>
      <c r="F54" s="52" t="s">
        <v>98</v>
      </c>
      <c r="G54" s="21"/>
      <c r="H54" s="21"/>
    </row>
    <row r="55">
      <c r="A55" s="21"/>
      <c r="B55" s="21"/>
      <c r="C55" s="21"/>
      <c r="D55" s="21"/>
      <c r="E55" s="51">
        <v>5.0</v>
      </c>
      <c r="F55" s="52" t="s">
        <v>99</v>
      </c>
      <c r="G55" s="21"/>
      <c r="H55" s="21"/>
    </row>
    <row r="56">
      <c r="A56" s="21"/>
      <c r="B56" s="21"/>
      <c r="C56" s="21"/>
      <c r="D56" s="21"/>
      <c r="E56" s="51">
        <v>6.0</v>
      </c>
      <c r="F56" s="27"/>
      <c r="G56" s="21"/>
      <c r="H56" s="21"/>
    </row>
    <row r="57">
      <c r="A57" s="25"/>
      <c r="B57" s="25"/>
      <c r="C57" s="25"/>
      <c r="D57" s="25"/>
      <c r="E57" s="51">
        <v>7.0</v>
      </c>
      <c r="F57" s="27"/>
      <c r="G57" s="21"/>
      <c r="H57" s="21"/>
    </row>
    <row r="58">
      <c r="A58" s="59">
        <v>3.0</v>
      </c>
      <c r="B58" s="60" t="s">
        <v>101</v>
      </c>
      <c r="C58" s="62">
        <v>9.0</v>
      </c>
      <c r="D58" s="64" t="s">
        <v>103</v>
      </c>
      <c r="E58" s="65">
        <v>1.0</v>
      </c>
      <c r="F58" s="67" t="s">
        <v>104</v>
      </c>
      <c r="G58" s="21"/>
      <c r="H58" s="21"/>
    </row>
    <row r="59">
      <c r="A59" s="21"/>
      <c r="B59" s="21"/>
      <c r="C59" s="21"/>
      <c r="D59" s="21"/>
      <c r="E59" s="65">
        <v>2.0</v>
      </c>
      <c r="F59" s="67" t="s">
        <v>105</v>
      </c>
      <c r="G59" s="21"/>
      <c r="H59" s="21"/>
    </row>
    <row r="60">
      <c r="A60" s="21"/>
      <c r="B60" s="21"/>
      <c r="C60" s="21"/>
      <c r="D60" s="21"/>
      <c r="E60" s="65">
        <v>3.0</v>
      </c>
      <c r="F60" s="67" t="s">
        <v>106</v>
      </c>
      <c r="G60" s="21"/>
      <c r="H60" s="21"/>
    </row>
    <row r="61">
      <c r="A61" s="21"/>
      <c r="B61" s="21"/>
      <c r="C61" s="21"/>
      <c r="D61" s="21"/>
      <c r="E61" s="65">
        <v>4.0</v>
      </c>
      <c r="F61" s="67" t="s">
        <v>107</v>
      </c>
      <c r="G61" s="21"/>
      <c r="H61" s="21"/>
    </row>
    <row r="62">
      <c r="A62" s="21"/>
      <c r="B62" s="21"/>
      <c r="C62" s="21"/>
      <c r="D62" s="21"/>
      <c r="E62" s="65">
        <v>5.0</v>
      </c>
      <c r="F62" s="67" t="s">
        <v>108</v>
      </c>
      <c r="G62" s="21"/>
      <c r="H62" s="21"/>
    </row>
    <row r="63">
      <c r="A63" s="21"/>
      <c r="B63" s="21"/>
      <c r="C63" s="21"/>
      <c r="D63" s="21"/>
      <c r="E63" s="65">
        <v>6.0</v>
      </c>
      <c r="F63" s="67" t="s">
        <v>109</v>
      </c>
      <c r="G63" s="21"/>
      <c r="H63" s="21"/>
    </row>
    <row r="64">
      <c r="A64" s="21"/>
      <c r="B64" s="21"/>
      <c r="C64" s="25"/>
      <c r="D64" s="25"/>
      <c r="E64" s="65">
        <v>7.0</v>
      </c>
      <c r="F64" s="27"/>
      <c r="G64" s="21"/>
      <c r="H64" s="21"/>
    </row>
    <row r="65">
      <c r="A65" s="21"/>
      <c r="B65" s="21"/>
      <c r="C65" s="62">
        <v>10.0</v>
      </c>
      <c r="D65" s="64" t="s">
        <v>110</v>
      </c>
      <c r="E65" s="65">
        <v>1.0</v>
      </c>
      <c r="F65" s="67" t="s">
        <v>111</v>
      </c>
      <c r="G65" s="21"/>
      <c r="H65" s="21"/>
    </row>
    <row r="66">
      <c r="A66" s="21"/>
      <c r="B66" s="21"/>
      <c r="C66" s="21"/>
      <c r="D66" s="21"/>
      <c r="E66" s="65">
        <v>2.0</v>
      </c>
      <c r="F66" s="67" t="s">
        <v>112</v>
      </c>
      <c r="G66" s="21"/>
      <c r="H66" s="21"/>
    </row>
    <row r="67">
      <c r="A67" s="21"/>
      <c r="B67" s="21"/>
      <c r="C67" s="21"/>
      <c r="D67" s="21"/>
      <c r="E67" s="65">
        <v>3.0</v>
      </c>
      <c r="F67" s="67" t="s">
        <v>113</v>
      </c>
      <c r="G67" s="21"/>
      <c r="H67" s="21"/>
    </row>
    <row r="68">
      <c r="A68" s="21"/>
      <c r="B68" s="21"/>
      <c r="C68" s="21"/>
      <c r="D68" s="21"/>
      <c r="E68" s="65">
        <v>4.0</v>
      </c>
      <c r="F68" s="67" t="s">
        <v>114</v>
      </c>
      <c r="G68" s="21"/>
      <c r="H68" s="21"/>
    </row>
    <row r="69">
      <c r="A69" s="21"/>
      <c r="B69" s="21"/>
      <c r="C69" s="21"/>
      <c r="D69" s="21"/>
      <c r="E69" s="65">
        <v>5.0</v>
      </c>
      <c r="F69" s="67" t="s">
        <v>115</v>
      </c>
      <c r="G69" s="21"/>
      <c r="H69" s="21"/>
    </row>
    <row r="70">
      <c r="A70" s="21"/>
      <c r="B70" s="21"/>
      <c r="C70" s="21"/>
      <c r="D70" s="21"/>
      <c r="E70" s="65">
        <v>6.0</v>
      </c>
      <c r="F70" s="27"/>
      <c r="G70" s="21"/>
      <c r="H70" s="21"/>
    </row>
    <row r="71">
      <c r="A71" s="21"/>
      <c r="B71" s="21"/>
      <c r="C71" s="25"/>
      <c r="D71" s="25"/>
      <c r="E71" s="65">
        <v>7.0</v>
      </c>
      <c r="F71" s="27"/>
      <c r="G71" s="21"/>
      <c r="H71" s="21"/>
    </row>
    <row r="72">
      <c r="A72" s="21"/>
      <c r="B72" s="21"/>
      <c r="C72" s="62">
        <v>11.0</v>
      </c>
      <c r="D72" s="64" t="s">
        <v>116</v>
      </c>
      <c r="E72" s="65">
        <v>1.0</v>
      </c>
      <c r="F72" s="67" t="s">
        <v>117</v>
      </c>
      <c r="G72" s="21"/>
      <c r="H72" s="21"/>
    </row>
    <row r="73">
      <c r="A73" s="21"/>
      <c r="B73" s="21"/>
      <c r="C73" s="21"/>
      <c r="D73" s="21"/>
      <c r="E73" s="65">
        <v>2.0</v>
      </c>
      <c r="F73" s="67" t="s">
        <v>118</v>
      </c>
      <c r="G73" s="21"/>
      <c r="H73" s="21"/>
    </row>
    <row r="74">
      <c r="A74" s="21"/>
      <c r="B74" s="21"/>
      <c r="C74" s="21"/>
      <c r="D74" s="21"/>
      <c r="E74" s="65">
        <v>3.0</v>
      </c>
      <c r="F74" s="67" t="s">
        <v>119</v>
      </c>
      <c r="G74" s="21"/>
      <c r="H74" s="21"/>
    </row>
    <row r="75">
      <c r="A75" s="21"/>
      <c r="B75" s="21"/>
      <c r="C75" s="21"/>
      <c r="D75" s="21"/>
      <c r="E75" s="65">
        <v>4.0</v>
      </c>
      <c r="F75" s="67" t="s">
        <v>120</v>
      </c>
      <c r="G75" s="21"/>
      <c r="H75" s="21"/>
    </row>
    <row r="76">
      <c r="A76" s="21"/>
      <c r="B76" s="21"/>
      <c r="C76" s="21"/>
      <c r="D76" s="21"/>
      <c r="E76" s="65">
        <v>5.0</v>
      </c>
      <c r="F76" s="67" t="s">
        <v>121</v>
      </c>
      <c r="G76" s="21"/>
      <c r="H76" s="21"/>
    </row>
    <row r="77">
      <c r="A77" s="21"/>
      <c r="B77" s="21"/>
      <c r="C77" s="21"/>
      <c r="D77" s="21"/>
      <c r="E77" s="65">
        <v>6.0</v>
      </c>
      <c r="F77" s="67" t="s">
        <v>122</v>
      </c>
      <c r="G77" s="21"/>
      <c r="H77" s="21"/>
    </row>
    <row r="78">
      <c r="A78" s="21"/>
      <c r="B78" s="21"/>
      <c r="C78" s="25"/>
      <c r="D78" s="25"/>
      <c r="E78" s="65">
        <v>7.0</v>
      </c>
      <c r="F78" s="27"/>
      <c r="G78" s="21"/>
      <c r="H78" s="21"/>
    </row>
    <row r="79">
      <c r="A79" s="21"/>
      <c r="B79" s="21"/>
      <c r="C79" s="62">
        <v>12.0</v>
      </c>
      <c r="D79" s="64" t="s">
        <v>123</v>
      </c>
      <c r="E79" s="65">
        <v>1.0</v>
      </c>
      <c r="F79" s="67" t="s">
        <v>106</v>
      </c>
      <c r="G79" s="21"/>
      <c r="H79" s="21"/>
    </row>
    <row r="80">
      <c r="A80" s="21"/>
      <c r="B80" s="21"/>
      <c r="C80" s="21"/>
      <c r="D80" s="21"/>
      <c r="E80" s="65">
        <v>2.0</v>
      </c>
      <c r="F80" s="67" t="s">
        <v>124</v>
      </c>
      <c r="G80" s="21"/>
      <c r="H80" s="21"/>
    </row>
    <row r="81">
      <c r="A81" s="21"/>
      <c r="B81" s="21"/>
      <c r="C81" s="21"/>
      <c r="D81" s="21"/>
      <c r="E81" s="65">
        <v>3.0</v>
      </c>
      <c r="F81" s="67" t="s">
        <v>125</v>
      </c>
      <c r="G81" s="21"/>
      <c r="H81" s="21"/>
    </row>
    <row r="82">
      <c r="A82" s="21"/>
      <c r="B82" s="21"/>
      <c r="C82" s="21"/>
      <c r="D82" s="21"/>
      <c r="E82" s="65">
        <v>4.0</v>
      </c>
      <c r="F82" s="67" t="s">
        <v>126</v>
      </c>
      <c r="G82" s="21"/>
      <c r="H82" s="21"/>
    </row>
    <row r="83">
      <c r="A83" s="21"/>
      <c r="B83" s="21"/>
      <c r="C83" s="21"/>
      <c r="D83" s="21"/>
      <c r="E83" s="65">
        <v>5.0</v>
      </c>
      <c r="F83" s="67" t="s">
        <v>127</v>
      </c>
      <c r="G83" s="21"/>
      <c r="H83" s="21"/>
    </row>
    <row r="84">
      <c r="A84" s="21"/>
      <c r="B84" s="21"/>
      <c r="C84" s="21"/>
      <c r="D84" s="21"/>
      <c r="E84" s="65">
        <v>6.0</v>
      </c>
      <c r="F84" s="27"/>
      <c r="G84" s="21"/>
      <c r="H84" s="21"/>
    </row>
    <row r="85">
      <c r="A85" s="25"/>
      <c r="B85" s="25"/>
      <c r="C85" s="25"/>
      <c r="D85" s="25"/>
      <c r="E85" s="65">
        <v>7.0</v>
      </c>
      <c r="F85" s="27"/>
      <c r="G85" s="25"/>
      <c r="H85" s="21"/>
    </row>
    <row r="86">
      <c r="A86" s="70">
        <v>4.0</v>
      </c>
      <c r="B86" s="71" t="s">
        <v>128</v>
      </c>
      <c r="C86" s="72">
        <v>13.0</v>
      </c>
      <c r="D86" s="73" t="s">
        <v>129</v>
      </c>
      <c r="E86" s="74">
        <v>1.0</v>
      </c>
      <c r="F86" s="75" t="s">
        <v>130</v>
      </c>
      <c r="G86" s="76" t="s">
        <v>131</v>
      </c>
      <c r="H86" s="21"/>
    </row>
    <row r="87">
      <c r="A87" s="21"/>
      <c r="B87" s="21"/>
      <c r="C87" s="21"/>
      <c r="D87" s="21"/>
      <c r="E87" s="74">
        <v>2.0</v>
      </c>
      <c r="F87" s="75" t="s">
        <v>132</v>
      </c>
      <c r="G87" s="21"/>
      <c r="H87" s="21"/>
    </row>
    <row r="88">
      <c r="A88" s="21"/>
      <c r="B88" s="21"/>
      <c r="C88" s="21"/>
      <c r="D88" s="21"/>
      <c r="E88" s="74">
        <v>3.0</v>
      </c>
      <c r="F88" s="75" t="s">
        <v>133</v>
      </c>
      <c r="G88" s="21"/>
      <c r="H88" s="21"/>
    </row>
    <row r="89">
      <c r="A89" s="21"/>
      <c r="B89" s="21"/>
      <c r="C89" s="21"/>
      <c r="D89" s="21"/>
      <c r="E89" s="74">
        <v>4.0</v>
      </c>
      <c r="F89" s="75" t="s">
        <v>134</v>
      </c>
      <c r="G89" s="21"/>
      <c r="H89" s="21"/>
    </row>
    <row r="90">
      <c r="A90" s="21"/>
      <c r="B90" s="21"/>
      <c r="C90" s="21"/>
      <c r="D90" s="21"/>
      <c r="E90" s="74">
        <v>5.0</v>
      </c>
      <c r="F90" s="75" t="s">
        <v>135</v>
      </c>
      <c r="G90" s="21"/>
      <c r="H90" s="21"/>
    </row>
    <row r="91">
      <c r="A91" s="21"/>
      <c r="B91" s="21"/>
      <c r="C91" s="21"/>
      <c r="D91" s="21"/>
      <c r="E91" s="74">
        <v>6.0</v>
      </c>
      <c r="F91" s="75" t="s">
        <v>136</v>
      </c>
      <c r="G91" s="21"/>
      <c r="H91" s="21"/>
    </row>
    <row r="92">
      <c r="A92" s="21"/>
      <c r="B92" s="21"/>
      <c r="C92" s="25"/>
      <c r="D92" s="25"/>
      <c r="E92" s="74">
        <v>7.0</v>
      </c>
      <c r="F92" s="27"/>
      <c r="G92" s="21"/>
      <c r="H92" s="21"/>
    </row>
    <row r="93">
      <c r="A93" s="21"/>
      <c r="B93" s="21"/>
      <c r="C93" s="72">
        <v>14.0</v>
      </c>
      <c r="D93" s="73" t="s">
        <v>137</v>
      </c>
      <c r="E93" s="74">
        <v>1.0</v>
      </c>
      <c r="F93" s="75" t="s">
        <v>138</v>
      </c>
      <c r="G93" s="21"/>
      <c r="H93" s="21"/>
    </row>
    <row r="94">
      <c r="A94" s="21"/>
      <c r="B94" s="21"/>
      <c r="C94" s="21"/>
      <c r="D94" s="21"/>
      <c r="E94" s="74">
        <v>2.0</v>
      </c>
      <c r="F94" s="75" t="s">
        <v>139</v>
      </c>
      <c r="G94" s="21"/>
      <c r="H94" s="21"/>
    </row>
    <row r="95">
      <c r="A95" s="21"/>
      <c r="B95" s="21"/>
      <c r="C95" s="21"/>
      <c r="D95" s="21"/>
      <c r="E95" s="74">
        <v>3.0</v>
      </c>
      <c r="F95" s="75" t="s">
        <v>140</v>
      </c>
      <c r="G95" s="21"/>
      <c r="H95" s="21"/>
    </row>
    <row r="96">
      <c r="A96" s="21"/>
      <c r="B96" s="21"/>
      <c r="C96" s="21"/>
      <c r="D96" s="21"/>
      <c r="E96" s="74">
        <v>4.0</v>
      </c>
      <c r="F96" s="75" t="s">
        <v>141</v>
      </c>
      <c r="G96" s="21"/>
      <c r="H96" s="21"/>
    </row>
    <row r="97">
      <c r="A97" s="21"/>
      <c r="B97" s="21"/>
      <c r="C97" s="21"/>
      <c r="D97" s="21"/>
      <c r="E97" s="74">
        <v>5.0</v>
      </c>
      <c r="F97" s="75" t="s">
        <v>142</v>
      </c>
      <c r="G97" s="21"/>
      <c r="H97" s="21"/>
    </row>
    <row r="98">
      <c r="A98" s="21"/>
      <c r="B98" s="21"/>
      <c r="C98" s="21"/>
      <c r="D98" s="21"/>
      <c r="E98" s="74">
        <v>6.0</v>
      </c>
      <c r="F98" s="75" t="s">
        <v>143</v>
      </c>
      <c r="G98" s="21"/>
      <c r="H98" s="21"/>
    </row>
    <row r="99">
      <c r="A99" s="25"/>
      <c r="B99" s="25"/>
      <c r="C99" s="25"/>
      <c r="D99" s="25"/>
      <c r="E99" s="74">
        <v>7.0</v>
      </c>
      <c r="F99" s="75" t="s">
        <v>144</v>
      </c>
      <c r="G99" s="25"/>
      <c r="H99" s="25"/>
    </row>
    <row r="100">
      <c r="B100" s="77"/>
    </row>
    <row r="101">
      <c r="B101" s="77"/>
    </row>
    <row r="102">
      <c r="B102" s="77"/>
    </row>
    <row r="103">
      <c r="B103" s="77"/>
    </row>
    <row r="104">
      <c r="B104" s="77"/>
    </row>
    <row r="105">
      <c r="B105" s="77"/>
    </row>
    <row r="106">
      <c r="B106" s="77"/>
    </row>
    <row r="107">
      <c r="B107" s="77"/>
    </row>
    <row r="108">
      <c r="B108" s="77"/>
    </row>
    <row r="109">
      <c r="B109" s="77"/>
    </row>
    <row r="110">
      <c r="B110" s="77"/>
    </row>
    <row r="111">
      <c r="B111" s="77"/>
    </row>
    <row r="112">
      <c r="B112" s="77"/>
    </row>
    <row r="113">
      <c r="B113" s="77"/>
    </row>
    <row r="114">
      <c r="B114" s="77"/>
    </row>
    <row r="115">
      <c r="B115" s="77"/>
    </row>
    <row r="116">
      <c r="B116" s="77"/>
    </row>
    <row r="117">
      <c r="B117" s="77"/>
    </row>
    <row r="118">
      <c r="B118" s="77"/>
    </row>
    <row r="119">
      <c r="B119" s="77"/>
    </row>
    <row r="120">
      <c r="B120" s="77"/>
    </row>
    <row r="121">
      <c r="B121" s="77"/>
    </row>
    <row r="122">
      <c r="B122" s="77"/>
    </row>
    <row r="123">
      <c r="B123" s="77"/>
    </row>
    <row r="124">
      <c r="B124" s="77"/>
    </row>
    <row r="125">
      <c r="B125" s="77"/>
    </row>
    <row r="126">
      <c r="B126" s="77"/>
    </row>
    <row r="127">
      <c r="B127" s="77"/>
    </row>
    <row r="128">
      <c r="B128" s="77"/>
    </row>
    <row r="129">
      <c r="B129" s="77"/>
    </row>
    <row r="130">
      <c r="B130" s="77"/>
    </row>
    <row r="131">
      <c r="B131" s="77"/>
    </row>
    <row r="132">
      <c r="B132" s="77"/>
    </row>
    <row r="133">
      <c r="B133" s="77"/>
    </row>
    <row r="134">
      <c r="B134" s="77"/>
    </row>
    <row r="135">
      <c r="B135" s="77"/>
    </row>
    <row r="136">
      <c r="B136" s="77"/>
    </row>
    <row r="137">
      <c r="B137" s="77"/>
    </row>
    <row r="138">
      <c r="B138" s="77"/>
    </row>
    <row r="139">
      <c r="B139" s="77"/>
    </row>
    <row r="140">
      <c r="B140" s="77"/>
    </row>
    <row r="141">
      <c r="B141" s="77"/>
    </row>
    <row r="142">
      <c r="B142" s="77"/>
    </row>
    <row r="143">
      <c r="B143" s="77"/>
    </row>
    <row r="144">
      <c r="B144" s="77"/>
    </row>
    <row r="145">
      <c r="B145" s="77"/>
    </row>
    <row r="146">
      <c r="B146" s="77"/>
    </row>
    <row r="147">
      <c r="B147" s="77"/>
    </row>
    <row r="148">
      <c r="B148" s="77"/>
    </row>
    <row r="149">
      <c r="B149" s="77"/>
    </row>
    <row r="150">
      <c r="B150" s="77"/>
    </row>
    <row r="151">
      <c r="B151" s="77"/>
    </row>
    <row r="152">
      <c r="B152" s="77"/>
    </row>
    <row r="153">
      <c r="B153" s="77"/>
    </row>
    <row r="154">
      <c r="B154" s="77"/>
    </row>
    <row r="155">
      <c r="B155" s="77"/>
    </row>
    <row r="156">
      <c r="B156" s="77"/>
    </row>
    <row r="157">
      <c r="B157" s="77"/>
    </row>
    <row r="158">
      <c r="B158" s="77"/>
    </row>
    <row r="159">
      <c r="B159" s="77"/>
    </row>
    <row r="160">
      <c r="B160" s="77"/>
    </row>
    <row r="161">
      <c r="B161" s="77"/>
    </row>
    <row r="162">
      <c r="B162" s="77"/>
    </row>
    <row r="163">
      <c r="B163" s="77"/>
    </row>
    <row r="164">
      <c r="B164" s="77"/>
    </row>
    <row r="165">
      <c r="B165" s="77"/>
    </row>
    <row r="166">
      <c r="B166" s="77"/>
    </row>
    <row r="167">
      <c r="B167" s="77"/>
    </row>
    <row r="168">
      <c r="B168" s="77"/>
    </row>
    <row r="169">
      <c r="B169" s="77"/>
    </row>
    <row r="170">
      <c r="B170" s="77"/>
    </row>
    <row r="171">
      <c r="B171" s="77"/>
    </row>
    <row r="172">
      <c r="B172" s="77"/>
    </row>
    <row r="173">
      <c r="B173" s="77"/>
    </row>
    <row r="174">
      <c r="B174" s="77"/>
    </row>
    <row r="175">
      <c r="B175" s="77"/>
    </row>
    <row r="176">
      <c r="B176" s="77"/>
    </row>
    <row r="177">
      <c r="B177" s="77"/>
    </row>
    <row r="178">
      <c r="B178" s="77"/>
    </row>
    <row r="179">
      <c r="B179" s="77"/>
    </row>
    <row r="180">
      <c r="B180" s="77"/>
    </row>
    <row r="181">
      <c r="B181" s="77"/>
    </row>
    <row r="182">
      <c r="B182" s="77"/>
    </row>
    <row r="183">
      <c r="B183" s="77"/>
    </row>
    <row r="184">
      <c r="B184" s="77"/>
    </row>
    <row r="185">
      <c r="B185" s="77"/>
    </row>
    <row r="186">
      <c r="B186" s="77"/>
    </row>
    <row r="187">
      <c r="B187" s="77"/>
    </row>
    <row r="188">
      <c r="B188" s="77"/>
    </row>
    <row r="189">
      <c r="B189" s="77"/>
    </row>
    <row r="190">
      <c r="B190" s="77"/>
    </row>
    <row r="191">
      <c r="B191" s="77"/>
    </row>
    <row r="192">
      <c r="B192" s="77"/>
    </row>
    <row r="193">
      <c r="B193" s="77"/>
    </row>
    <row r="194">
      <c r="B194" s="77"/>
    </row>
    <row r="195">
      <c r="B195" s="77"/>
    </row>
    <row r="196">
      <c r="B196" s="77"/>
    </row>
    <row r="197">
      <c r="B197" s="77"/>
    </row>
    <row r="198">
      <c r="B198" s="77"/>
    </row>
    <row r="199">
      <c r="B199" s="77"/>
    </row>
    <row r="200">
      <c r="B200" s="77"/>
    </row>
    <row r="201">
      <c r="B201" s="77"/>
    </row>
    <row r="202">
      <c r="B202" s="77"/>
    </row>
    <row r="203">
      <c r="B203" s="77"/>
    </row>
    <row r="204">
      <c r="B204" s="77"/>
    </row>
    <row r="205">
      <c r="B205" s="77"/>
    </row>
    <row r="206">
      <c r="B206" s="77"/>
    </row>
    <row r="207">
      <c r="B207" s="77"/>
    </row>
    <row r="208">
      <c r="B208" s="77"/>
    </row>
    <row r="209">
      <c r="B209" s="77"/>
    </row>
    <row r="210">
      <c r="B210" s="77"/>
    </row>
    <row r="211">
      <c r="B211" s="77"/>
    </row>
    <row r="212">
      <c r="B212" s="77"/>
    </row>
    <row r="213">
      <c r="B213" s="77"/>
    </row>
    <row r="214">
      <c r="B214" s="77"/>
    </row>
    <row r="215">
      <c r="B215" s="77"/>
    </row>
    <row r="216">
      <c r="B216" s="77"/>
    </row>
    <row r="217">
      <c r="B217" s="77"/>
    </row>
    <row r="218">
      <c r="B218" s="77"/>
    </row>
    <row r="219">
      <c r="B219" s="77"/>
    </row>
    <row r="220">
      <c r="B220" s="77"/>
    </row>
    <row r="221">
      <c r="B221" s="77"/>
    </row>
    <row r="222">
      <c r="B222" s="77"/>
    </row>
    <row r="223">
      <c r="B223" s="77"/>
    </row>
    <row r="224">
      <c r="B224" s="77"/>
    </row>
    <row r="225">
      <c r="B225" s="77"/>
    </row>
    <row r="226">
      <c r="B226" s="77"/>
    </row>
    <row r="227">
      <c r="B227" s="77"/>
    </row>
    <row r="228">
      <c r="B228" s="77"/>
    </row>
    <row r="229">
      <c r="B229" s="77"/>
    </row>
    <row r="230">
      <c r="B230" s="77"/>
    </row>
    <row r="231">
      <c r="B231" s="77"/>
    </row>
    <row r="232">
      <c r="B232" s="77"/>
    </row>
    <row r="233">
      <c r="B233" s="77"/>
    </row>
    <row r="234">
      <c r="B234" s="77"/>
    </row>
    <row r="235">
      <c r="B235" s="77"/>
    </row>
    <row r="236">
      <c r="B236" s="77"/>
    </row>
    <row r="237">
      <c r="B237" s="77"/>
    </row>
    <row r="238">
      <c r="B238" s="77"/>
    </row>
    <row r="239">
      <c r="B239" s="77"/>
    </row>
    <row r="240">
      <c r="B240" s="77"/>
    </row>
    <row r="241">
      <c r="B241" s="77"/>
    </row>
    <row r="242">
      <c r="B242" s="77"/>
    </row>
    <row r="243">
      <c r="B243" s="77"/>
    </row>
    <row r="244">
      <c r="B244" s="77"/>
    </row>
    <row r="245">
      <c r="B245" s="77"/>
    </row>
    <row r="246">
      <c r="B246" s="77"/>
    </row>
    <row r="247">
      <c r="B247" s="77"/>
    </row>
    <row r="248">
      <c r="B248" s="77"/>
    </row>
    <row r="249">
      <c r="B249" s="77"/>
    </row>
    <row r="250">
      <c r="B250" s="77"/>
    </row>
    <row r="251">
      <c r="B251" s="77"/>
    </row>
    <row r="252">
      <c r="B252" s="77"/>
    </row>
    <row r="253">
      <c r="B253" s="77"/>
    </row>
    <row r="254">
      <c r="B254" s="77"/>
    </row>
    <row r="255">
      <c r="B255" s="77"/>
    </row>
    <row r="256">
      <c r="B256" s="77"/>
    </row>
    <row r="257">
      <c r="B257" s="77"/>
    </row>
    <row r="258">
      <c r="B258" s="77"/>
    </row>
    <row r="259">
      <c r="B259" s="77"/>
    </row>
    <row r="260">
      <c r="B260" s="77"/>
    </row>
    <row r="261">
      <c r="B261" s="77"/>
    </row>
    <row r="262">
      <c r="B262" s="77"/>
    </row>
    <row r="263">
      <c r="B263" s="77"/>
    </row>
    <row r="264">
      <c r="B264" s="77"/>
    </row>
    <row r="265">
      <c r="B265" s="77"/>
    </row>
    <row r="266">
      <c r="B266" s="77"/>
    </row>
    <row r="267">
      <c r="B267" s="77"/>
    </row>
    <row r="268">
      <c r="B268" s="77"/>
    </row>
    <row r="269">
      <c r="B269" s="77"/>
    </row>
    <row r="270">
      <c r="B270" s="77"/>
    </row>
    <row r="271">
      <c r="B271" s="77"/>
    </row>
    <row r="272">
      <c r="B272" s="77"/>
    </row>
    <row r="273">
      <c r="B273" s="77"/>
    </row>
    <row r="274">
      <c r="B274" s="77"/>
    </row>
    <row r="275">
      <c r="B275" s="77"/>
    </row>
    <row r="276">
      <c r="B276" s="77"/>
    </row>
    <row r="277">
      <c r="B277" s="77"/>
    </row>
    <row r="278">
      <c r="B278" s="77"/>
    </row>
    <row r="279">
      <c r="B279" s="77"/>
    </row>
    <row r="280">
      <c r="B280" s="77"/>
    </row>
    <row r="281">
      <c r="B281" s="77"/>
    </row>
    <row r="282">
      <c r="B282" s="77"/>
    </row>
    <row r="283">
      <c r="B283" s="77"/>
    </row>
    <row r="284">
      <c r="B284" s="77"/>
    </row>
    <row r="285">
      <c r="B285" s="77"/>
    </row>
    <row r="286">
      <c r="B286" s="77"/>
    </row>
    <row r="287">
      <c r="B287" s="77"/>
    </row>
    <row r="288">
      <c r="B288" s="77"/>
    </row>
    <row r="289">
      <c r="B289" s="77"/>
    </row>
    <row r="290">
      <c r="B290" s="77"/>
    </row>
    <row r="291">
      <c r="B291" s="77"/>
    </row>
    <row r="292">
      <c r="B292" s="77"/>
    </row>
    <row r="293">
      <c r="B293" s="77"/>
    </row>
    <row r="294">
      <c r="B294" s="77"/>
    </row>
    <row r="295">
      <c r="B295" s="77"/>
    </row>
    <row r="296">
      <c r="B296" s="77"/>
    </row>
    <row r="297">
      <c r="B297" s="77"/>
    </row>
    <row r="298">
      <c r="B298" s="77"/>
    </row>
    <row r="299">
      <c r="B299" s="77"/>
    </row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1">
    <mergeCell ref="D65:D71"/>
    <mergeCell ref="C72:C78"/>
    <mergeCell ref="D72:D78"/>
    <mergeCell ref="C79:C85"/>
    <mergeCell ref="D79:D85"/>
    <mergeCell ref="C86:C92"/>
    <mergeCell ref="D86:D92"/>
    <mergeCell ref="C51:C57"/>
    <mergeCell ref="C93:C99"/>
    <mergeCell ref="C44:C50"/>
    <mergeCell ref="D44:D50"/>
    <mergeCell ref="G44:G85"/>
    <mergeCell ref="D51:D57"/>
    <mergeCell ref="H51:H99"/>
    <mergeCell ref="D58:D64"/>
    <mergeCell ref="G86:G99"/>
    <mergeCell ref="D93:D99"/>
    <mergeCell ref="C9:C15"/>
    <mergeCell ref="C16:C22"/>
    <mergeCell ref="D16:D22"/>
    <mergeCell ref="C23:C29"/>
    <mergeCell ref="D23:D29"/>
    <mergeCell ref="A30:A57"/>
    <mergeCell ref="B30:B57"/>
    <mergeCell ref="A58:A85"/>
    <mergeCell ref="B58:B85"/>
    <mergeCell ref="A86:A99"/>
    <mergeCell ref="B86:B99"/>
    <mergeCell ref="C30:C36"/>
    <mergeCell ref="D30:D36"/>
    <mergeCell ref="C37:C43"/>
    <mergeCell ref="D37:D43"/>
    <mergeCell ref="A2:A29"/>
    <mergeCell ref="B2:B29"/>
    <mergeCell ref="C2:C8"/>
    <mergeCell ref="D2:D8"/>
    <mergeCell ref="G2:G43"/>
    <mergeCell ref="H2:H50"/>
    <mergeCell ref="D9:D15"/>
    <mergeCell ref="C58:C64"/>
    <mergeCell ref="C65:C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46.13"/>
    <col customWidth="1" min="3" max="3" width="9.0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3" width="17.0"/>
  </cols>
  <sheetData>
    <row r="1">
      <c r="A1" s="12" t="s">
        <v>27</v>
      </c>
      <c r="B1" s="14" t="s">
        <v>28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12" t="s">
        <v>6</v>
      </c>
      <c r="B2" s="18">
        <v>1.0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2" t="s">
        <v>2</v>
      </c>
      <c r="B3" s="20" t="s">
        <v>25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2" t="s">
        <v>8</v>
      </c>
      <c r="B4" s="22" t="s">
        <v>26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6"/>
      <c r="B5" s="23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4" t="s">
        <v>9</v>
      </c>
      <c r="B6" s="26" t="s">
        <v>37</v>
      </c>
      <c r="C6" s="28" t="s">
        <v>38</v>
      </c>
      <c r="D6" s="29" t="s">
        <v>39</v>
      </c>
      <c r="E6" s="29" t="s">
        <v>40</v>
      </c>
      <c r="F6" s="30" t="s">
        <v>41</v>
      </c>
      <c r="G6" s="31"/>
      <c r="H6" s="30" t="s">
        <v>47</v>
      </c>
      <c r="I6" s="31"/>
      <c r="J6" s="32" t="s">
        <v>49</v>
      </c>
      <c r="K6" s="33" t="s">
        <v>41</v>
      </c>
      <c r="L6" s="34" t="s">
        <v>47</v>
      </c>
      <c r="M6" s="35" t="s">
        <v>51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37"/>
      <c r="B7" s="26" t="s">
        <v>54</v>
      </c>
      <c r="C7" s="38">
        <v>15.0</v>
      </c>
      <c r="D7" s="39">
        <v>10.0</v>
      </c>
      <c r="E7" s="39">
        <v>10.0</v>
      </c>
      <c r="F7" s="39">
        <v>15.0</v>
      </c>
      <c r="G7" s="39">
        <v>5.0</v>
      </c>
      <c r="H7" s="39">
        <v>5.0</v>
      </c>
      <c r="I7" s="39">
        <v>15.0</v>
      </c>
      <c r="J7" s="37"/>
      <c r="K7" s="40" t="s">
        <v>62</v>
      </c>
      <c r="L7" s="40" t="s">
        <v>62</v>
      </c>
      <c r="M7" s="21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41"/>
      <c r="B8" s="42" t="s">
        <v>8</v>
      </c>
      <c r="C8" s="41"/>
      <c r="D8" s="41"/>
      <c r="E8" s="41"/>
      <c r="F8" s="41"/>
      <c r="G8" s="41"/>
      <c r="H8" s="41"/>
      <c r="I8" s="41"/>
      <c r="J8" s="41"/>
      <c r="K8" s="25"/>
      <c r="L8" s="25"/>
      <c r="M8" s="2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44">
        <v>1.0</v>
      </c>
      <c r="B9" s="45" t="s">
        <v>29</v>
      </c>
      <c r="C9" s="47"/>
      <c r="D9" s="49"/>
      <c r="E9" s="47" t="s">
        <v>71</v>
      </c>
      <c r="F9" s="49"/>
      <c r="G9" s="49"/>
      <c r="H9" s="47"/>
      <c r="I9" s="49"/>
      <c r="J9" s="49">
        <f t="shared" ref="J9:J14" si="1">IF(C9="X",$C$7,0)+IF(D9="X",$D$7,0)+IF(E9="X",$E$7,0)+IF(F9="X",$F$7,0)+IF(G9="X",$G$7,0)+IF(H9="X",$H$7,0)+IF(I9="X",$I$7,0)</f>
        <v>10</v>
      </c>
      <c r="K9" s="53"/>
      <c r="L9" s="54"/>
      <c r="M9" s="54">
        <f t="shared" ref="M9:M14" si="2">sum(K9:L9)</f>
        <v>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44">
        <v>2.0</v>
      </c>
      <c r="B10" s="56" t="s">
        <v>32</v>
      </c>
      <c r="C10" s="47"/>
      <c r="D10" s="47"/>
      <c r="E10" s="47" t="s">
        <v>71</v>
      </c>
      <c r="F10" s="49"/>
      <c r="G10" s="49"/>
      <c r="H10" s="47"/>
      <c r="I10" s="49"/>
      <c r="J10" s="49">
        <f t="shared" si="1"/>
        <v>10</v>
      </c>
      <c r="K10" s="53"/>
      <c r="L10" s="53"/>
      <c r="M10" s="54">
        <f t="shared" si="2"/>
        <v>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44">
        <v>3.0</v>
      </c>
      <c r="B11" s="56" t="s">
        <v>33</v>
      </c>
      <c r="C11" s="47" t="s">
        <v>71</v>
      </c>
      <c r="D11" s="49"/>
      <c r="E11" s="47" t="s">
        <v>71</v>
      </c>
      <c r="F11" s="49"/>
      <c r="G11" s="49"/>
      <c r="H11" s="47"/>
      <c r="I11" s="49"/>
      <c r="J11" s="49">
        <f t="shared" si="1"/>
        <v>25</v>
      </c>
      <c r="K11" s="54"/>
      <c r="L11" s="53"/>
      <c r="M11" s="54">
        <f t="shared" si="2"/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44">
        <v>4.0</v>
      </c>
      <c r="B12" s="56" t="s">
        <v>34</v>
      </c>
      <c r="C12" s="47"/>
      <c r="D12" s="49"/>
      <c r="E12" s="47" t="s">
        <v>71</v>
      </c>
      <c r="F12" s="49"/>
      <c r="G12" s="49"/>
      <c r="H12" s="47"/>
      <c r="I12" s="49"/>
      <c r="J12" s="49">
        <f t="shared" si="1"/>
        <v>10</v>
      </c>
      <c r="K12" s="53"/>
      <c r="L12" s="53"/>
      <c r="M12" s="54">
        <f t="shared" si="2"/>
        <v>0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44">
        <v>5.0</v>
      </c>
      <c r="B13" s="56" t="s">
        <v>35</v>
      </c>
      <c r="C13" s="47" t="s">
        <v>71</v>
      </c>
      <c r="D13" s="47" t="s">
        <v>71</v>
      </c>
      <c r="E13" s="47" t="s">
        <v>71</v>
      </c>
      <c r="F13" s="49"/>
      <c r="G13" s="49"/>
      <c r="H13" s="47"/>
      <c r="I13" s="49"/>
      <c r="J13" s="49">
        <f t="shared" si="1"/>
        <v>35</v>
      </c>
      <c r="K13" s="53"/>
      <c r="L13" s="53"/>
      <c r="M13" s="54">
        <f t="shared" si="2"/>
        <v>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44">
        <v>6.0</v>
      </c>
      <c r="B14" s="56" t="s">
        <v>36</v>
      </c>
      <c r="C14" s="47" t="s">
        <v>71</v>
      </c>
      <c r="D14" s="47" t="s">
        <v>71</v>
      </c>
      <c r="E14" s="47" t="s">
        <v>71</v>
      </c>
      <c r="F14" s="49"/>
      <c r="G14" s="49"/>
      <c r="H14" s="47"/>
      <c r="I14" s="49"/>
      <c r="J14" s="49">
        <f t="shared" si="1"/>
        <v>35</v>
      </c>
      <c r="K14" s="53"/>
      <c r="L14" s="53"/>
      <c r="M14" s="54">
        <f t="shared" si="2"/>
        <v>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6"/>
      <c r="B15" s="23"/>
      <c r="C15" s="16"/>
      <c r="D15" s="16"/>
      <c r="E15" s="16"/>
      <c r="F15" s="16"/>
      <c r="G15" s="16"/>
      <c r="H15" s="58" t="s">
        <v>100</v>
      </c>
      <c r="J15" s="58">
        <f>SUM(J7:J14)</f>
        <v>125</v>
      </c>
      <c r="K15" s="61"/>
      <c r="L15" s="63" t="s">
        <v>102</v>
      </c>
      <c r="M15" s="66">
        <f>sum(M9:M14)</f>
        <v>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6"/>
      <c r="B16" s="2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6"/>
      <c r="B17" s="2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6"/>
      <c r="B18" s="2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2" t="s">
        <v>27</v>
      </c>
      <c r="B19" s="68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2" t="s">
        <v>6</v>
      </c>
      <c r="B20" s="69">
        <v>2.0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2" t="s">
        <v>2</v>
      </c>
      <c r="B21" s="20" t="s">
        <v>25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2" t="s">
        <v>8</v>
      </c>
      <c r="B22" s="2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6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24" t="s">
        <v>9</v>
      </c>
      <c r="B24" s="26" t="s">
        <v>37</v>
      </c>
      <c r="C24" s="28" t="s">
        <v>38</v>
      </c>
      <c r="D24" s="29" t="s">
        <v>39</v>
      </c>
      <c r="E24" s="29" t="s">
        <v>40</v>
      </c>
      <c r="F24" s="30" t="s">
        <v>41</v>
      </c>
      <c r="G24" s="31"/>
      <c r="H24" s="30" t="s">
        <v>47</v>
      </c>
      <c r="I24" s="31"/>
      <c r="J24" s="32" t="s">
        <v>49</v>
      </c>
      <c r="K24" s="33" t="s">
        <v>41</v>
      </c>
      <c r="L24" s="34" t="s">
        <v>47</v>
      </c>
      <c r="M24" s="35" t="s">
        <v>51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37"/>
      <c r="B25" s="26" t="s">
        <v>54</v>
      </c>
      <c r="C25" s="38">
        <v>15.0</v>
      </c>
      <c r="D25" s="39">
        <v>10.0</v>
      </c>
      <c r="E25" s="39">
        <v>10.0</v>
      </c>
      <c r="F25" s="39">
        <v>15.0</v>
      </c>
      <c r="G25" s="39">
        <v>5.0</v>
      </c>
      <c r="H25" s="39">
        <v>5.0</v>
      </c>
      <c r="I25" s="39">
        <v>15.0</v>
      </c>
      <c r="J25" s="37"/>
      <c r="K25" s="40" t="s">
        <v>62</v>
      </c>
      <c r="L25" s="40" t="s">
        <v>62</v>
      </c>
      <c r="M25" s="2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41"/>
      <c r="B26" s="42" t="s">
        <v>8</v>
      </c>
      <c r="C26" s="41"/>
      <c r="D26" s="41"/>
      <c r="E26" s="41"/>
      <c r="F26" s="41"/>
      <c r="G26" s="41"/>
      <c r="H26" s="41"/>
      <c r="I26" s="41"/>
      <c r="J26" s="41"/>
      <c r="K26" s="25"/>
      <c r="L26" s="25"/>
      <c r="M26" s="2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44">
        <v>1.0</v>
      </c>
      <c r="B27" s="45" t="s">
        <v>43</v>
      </c>
      <c r="C27" s="47"/>
      <c r="D27" s="49"/>
      <c r="E27" s="47" t="s">
        <v>71</v>
      </c>
      <c r="F27" s="49"/>
      <c r="G27" s="49"/>
      <c r="H27" s="47"/>
      <c r="I27" s="49"/>
      <c r="J27" s="49">
        <f t="shared" ref="J27:J32" si="3">IF(C27="X",$C$7,0)+IF(D27="X",$D$7,0)+IF(E27="X",$E$7,0)+IF(F27="X",$F$7,0)+IF(G27="X",$G$7,0)+IF(H27="X",$H$7,0)+IF(I27="X",$I$7,0)</f>
        <v>10</v>
      </c>
      <c r="K27" s="53"/>
      <c r="L27" s="54"/>
      <c r="M27" s="54">
        <f t="shared" ref="M27:M32" si="4">sum(K27:L27)</f>
        <v>0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44">
        <v>2.0</v>
      </c>
      <c r="B28" s="56" t="s">
        <v>44</v>
      </c>
      <c r="C28" s="47" t="s">
        <v>71</v>
      </c>
      <c r="D28" s="47"/>
      <c r="E28" s="47" t="s">
        <v>71</v>
      </c>
      <c r="F28" s="49"/>
      <c r="G28" s="49"/>
      <c r="H28" s="47"/>
      <c r="I28" s="49"/>
      <c r="J28" s="49">
        <f t="shared" si="3"/>
        <v>25</v>
      </c>
      <c r="K28" s="53"/>
      <c r="L28" s="53"/>
      <c r="M28" s="54">
        <f t="shared" si="4"/>
        <v>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44">
        <v>3.0</v>
      </c>
      <c r="B29" s="56" t="s">
        <v>45</v>
      </c>
      <c r="C29" s="47"/>
      <c r="D29" s="49"/>
      <c r="E29" s="47" t="s">
        <v>71</v>
      </c>
      <c r="F29" s="49"/>
      <c r="G29" s="49"/>
      <c r="H29" s="47"/>
      <c r="I29" s="49"/>
      <c r="J29" s="49">
        <f t="shared" si="3"/>
        <v>10</v>
      </c>
      <c r="K29" s="54"/>
      <c r="L29" s="53"/>
      <c r="M29" s="54">
        <f t="shared" si="4"/>
        <v>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44">
        <v>4.0</v>
      </c>
      <c r="B30" s="56" t="s">
        <v>46</v>
      </c>
      <c r="C30" s="47" t="s">
        <v>71</v>
      </c>
      <c r="D30" s="49"/>
      <c r="E30" s="47" t="s">
        <v>71</v>
      </c>
      <c r="F30" s="49"/>
      <c r="G30" s="49"/>
      <c r="H30" s="47"/>
      <c r="I30" s="49"/>
      <c r="J30" s="49">
        <f t="shared" si="3"/>
        <v>25</v>
      </c>
      <c r="K30" s="53"/>
      <c r="L30" s="53"/>
      <c r="M30" s="54">
        <f t="shared" si="4"/>
        <v>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44">
        <v>5.0</v>
      </c>
      <c r="B31" s="56" t="s">
        <v>48</v>
      </c>
      <c r="C31" s="47" t="s">
        <v>71</v>
      </c>
      <c r="D31" s="47"/>
      <c r="E31" s="47" t="s">
        <v>71</v>
      </c>
      <c r="F31" s="49"/>
      <c r="G31" s="49"/>
      <c r="H31" s="47"/>
      <c r="I31" s="49"/>
      <c r="J31" s="49">
        <f t="shared" si="3"/>
        <v>25</v>
      </c>
      <c r="K31" s="53"/>
      <c r="L31" s="53"/>
      <c r="M31" s="54">
        <f t="shared" si="4"/>
        <v>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44">
        <v>6.0</v>
      </c>
      <c r="B32" s="56" t="s">
        <v>50</v>
      </c>
      <c r="C32" s="47" t="s">
        <v>71</v>
      </c>
      <c r="D32" s="47"/>
      <c r="E32" s="47" t="s">
        <v>71</v>
      </c>
      <c r="F32" s="49"/>
      <c r="G32" s="49"/>
      <c r="H32" s="47"/>
      <c r="I32" s="49"/>
      <c r="J32" s="49">
        <f t="shared" si="3"/>
        <v>25</v>
      </c>
      <c r="K32" s="53"/>
      <c r="L32" s="53"/>
      <c r="M32" s="54">
        <f t="shared" si="4"/>
        <v>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/>
      <c r="B33" s="23"/>
      <c r="C33" s="16"/>
      <c r="D33" s="16"/>
      <c r="E33" s="16"/>
      <c r="F33" s="16"/>
      <c r="G33" s="16"/>
      <c r="H33" s="58" t="s">
        <v>100</v>
      </c>
      <c r="J33" s="58">
        <f>SUM(J25:J32)</f>
        <v>120</v>
      </c>
      <c r="K33" s="61"/>
      <c r="L33" s="63" t="s">
        <v>102</v>
      </c>
      <c r="M33" s="66">
        <f>sum(M27:M32)</f>
        <v>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/>
      <c r="B34" s="2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2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2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2" t="s">
        <v>27</v>
      </c>
      <c r="B37" s="68" t="s">
        <v>145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2" t="s">
        <v>6</v>
      </c>
      <c r="B38" s="69">
        <v>3.0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2" t="s">
        <v>2</v>
      </c>
      <c r="B39" s="20" t="s">
        <v>25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2" t="s">
        <v>8</v>
      </c>
      <c r="B40" s="22" t="s">
        <v>52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2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24" t="s">
        <v>9</v>
      </c>
      <c r="B42" s="26" t="s">
        <v>37</v>
      </c>
      <c r="C42" s="28" t="s">
        <v>38</v>
      </c>
      <c r="D42" s="29" t="s">
        <v>39</v>
      </c>
      <c r="E42" s="29" t="s">
        <v>40</v>
      </c>
      <c r="F42" s="30" t="s">
        <v>41</v>
      </c>
      <c r="G42" s="31"/>
      <c r="H42" s="30" t="s">
        <v>47</v>
      </c>
      <c r="I42" s="31"/>
      <c r="J42" s="32" t="s">
        <v>49</v>
      </c>
      <c r="K42" s="33" t="s">
        <v>41</v>
      </c>
      <c r="L42" s="34" t="s">
        <v>47</v>
      </c>
      <c r="M42" s="35" t="s">
        <v>51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37"/>
      <c r="B43" s="26" t="s">
        <v>54</v>
      </c>
      <c r="C43" s="38">
        <v>15.0</v>
      </c>
      <c r="D43" s="39">
        <v>10.0</v>
      </c>
      <c r="E43" s="39">
        <v>10.0</v>
      </c>
      <c r="F43" s="39">
        <v>15.0</v>
      </c>
      <c r="G43" s="39">
        <v>5.0</v>
      </c>
      <c r="H43" s="39">
        <v>5.0</v>
      </c>
      <c r="I43" s="39">
        <v>15.0</v>
      </c>
      <c r="J43" s="37"/>
      <c r="K43" s="40" t="s">
        <v>62</v>
      </c>
      <c r="L43" s="40" t="s">
        <v>62</v>
      </c>
      <c r="M43" s="21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41"/>
      <c r="B44" s="42" t="s">
        <v>8</v>
      </c>
      <c r="C44" s="41"/>
      <c r="D44" s="41"/>
      <c r="E44" s="41"/>
      <c r="F44" s="41"/>
      <c r="G44" s="41"/>
      <c r="H44" s="41"/>
      <c r="I44" s="41"/>
      <c r="J44" s="41"/>
      <c r="K44" s="25"/>
      <c r="L44" s="25"/>
      <c r="M44" s="2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44">
        <v>1.0</v>
      </c>
      <c r="B45" s="45" t="s">
        <v>53</v>
      </c>
      <c r="C45" s="47" t="s">
        <v>71</v>
      </c>
      <c r="D45" s="49"/>
      <c r="E45" s="47" t="s">
        <v>71</v>
      </c>
      <c r="F45" s="49"/>
      <c r="G45" s="49"/>
      <c r="H45" s="47"/>
      <c r="I45" s="49"/>
      <c r="J45" s="49">
        <f t="shared" ref="J45:J50" si="5">IF(C45="X",$C$7,0)+IF(D45="X",$D$7,0)+IF(E45="X",$E$7,0)+IF(F45="X",$F$7,0)+IF(G45="X",$G$7,0)+IF(H45="X",$H$7,0)+IF(I45="X",$I$7,0)</f>
        <v>25</v>
      </c>
      <c r="K45" s="53"/>
      <c r="L45" s="54"/>
      <c r="M45" s="54">
        <f t="shared" ref="M45:M51" si="6">sum(K45:L45)</f>
        <v>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44">
        <v>2.0</v>
      </c>
      <c r="B46" s="56" t="s">
        <v>55</v>
      </c>
      <c r="C46" s="47" t="s">
        <v>71</v>
      </c>
      <c r="D46" s="47" t="s">
        <v>71</v>
      </c>
      <c r="E46" s="47"/>
      <c r="F46" s="49"/>
      <c r="G46" s="49"/>
      <c r="H46" s="47"/>
      <c r="I46" s="49"/>
      <c r="J46" s="49">
        <f t="shared" si="5"/>
        <v>25</v>
      </c>
      <c r="K46" s="53"/>
      <c r="L46" s="53"/>
      <c r="M46" s="54">
        <f t="shared" si="6"/>
        <v>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44">
        <v>3.0</v>
      </c>
      <c r="B47" s="56" t="s">
        <v>56</v>
      </c>
      <c r="C47" s="47" t="s">
        <v>71</v>
      </c>
      <c r="D47" s="49"/>
      <c r="E47" s="47" t="s">
        <v>71</v>
      </c>
      <c r="F47" s="49"/>
      <c r="G47" s="49"/>
      <c r="H47" s="47"/>
      <c r="I47" s="49"/>
      <c r="J47" s="49">
        <f t="shared" si="5"/>
        <v>25</v>
      </c>
      <c r="K47" s="54"/>
      <c r="L47" s="53"/>
      <c r="M47" s="54">
        <f t="shared" si="6"/>
        <v>0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44">
        <v>4.0</v>
      </c>
      <c r="B48" s="56" t="s">
        <v>57</v>
      </c>
      <c r="C48" s="47" t="s">
        <v>71</v>
      </c>
      <c r="D48" s="49"/>
      <c r="E48" s="47" t="s">
        <v>71</v>
      </c>
      <c r="F48" s="49"/>
      <c r="G48" s="49"/>
      <c r="H48" s="47"/>
      <c r="I48" s="49"/>
      <c r="J48" s="49">
        <f t="shared" si="5"/>
        <v>25</v>
      </c>
      <c r="K48" s="53"/>
      <c r="L48" s="53"/>
      <c r="M48" s="54">
        <f t="shared" si="6"/>
        <v>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44">
        <v>5.0</v>
      </c>
      <c r="B49" s="56" t="s">
        <v>58</v>
      </c>
      <c r="C49" s="47"/>
      <c r="D49" s="47"/>
      <c r="E49" s="47" t="s">
        <v>71</v>
      </c>
      <c r="F49" s="49"/>
      <c r="G49" s="49"/>
      <c r="H49" s="47"/>
      <c r="I49" s="49"/>
      <c r="J49" s="49">
        <f t="shared" si="5"/>
        <v>10</v>
      </c>
      <c r="K49" s="53"/>
      <c r="L49" s="53"/>
      <c r="M49" s="54">
        <f t="shared" si="6"/>
        <v>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44">
        <v>6.0</v>
      </c>
      <c r="B50" s="56" t="s">
        <v>59</v>
      </c>
      <c r="C50" s="47"/>
      <c r="D50" s="47"/>
      <c r="E50" s="47" t="s">
        <v>71</v>
      </c>
      <c r="F50" s="49"/>
      <c r="G50" s="49"/>
      <c r="H50" s="47"/>
      <c r="I50" s="49"/>
      <c r="J50" s="49">
        <f t="shared" si="5"/>
        <v>10</v>
      </c>
      <c r="K50" s="53"/>
      <c r="L50" s="53"/>
      <c r="M50" s="54">
        <f t="shared" si="6"/>
        <v>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78">
        <v>7.0</v>
      </c>
      <c r="B51" s="56" t="s">
        <v>60</v>
      </c>
      <c r="C51" s="47"/>
      <c r="D51" s="47"/>
      <c r="E51" s="47" t="s">
        <v>71</v>
      </c>
      <c r="F51" s="49"/>
      <c r="G51" s="49"/>
      <c r="H51" s="47"/>
      <c r="I51" s="49"/>
      <c r="J51" s="49"/>
      <c r="K51" s="53"/>
      <c r="L51" s="53"/>
      <c r="M51" s="54">
        <f t="shared" si="6"/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C52" s="16"/>
      <c r="D52" s="16"/>
      <c r="E52" s="16"/>
      <c r="F52" s="16"/>
      <c r="G52" s="16"/>
      <c r="H52" s="58" t="s">
        <v>100</v>
      </c>
      <c r="J52" s="58">
        <f>SUM(J43:J50)</f>
        <v>120</v>
      </c>
      <c r="K52" s="16"/>
      <c r="L52" s="63" t="s">
        <v>102</v>
      </c>
      <c r="M52" s="66">
        <f>SUM(M45:M51)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2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23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23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2" t="s">
        <v>27</v>
      </c>
      <c r="B56" s="68" t="s">
        <v>145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2" t="s">
        <v>6</v>
      </c>
      <c r="B57" s="69">
        <v>4.0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2" t="s">
        <v>2</v>
      </c>
      <c r="B58" s="20" t="s">
        <v>25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2" t="s">
        <v>8</v>
      </c>
      <c r="B59" s="22" t="s">
        <v>61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23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24" t="s">
        <v>9</v>
      </c>
      <c r="B61" s="26" t="s">
        <v>37</v>
      </c>
      <c r="C61" s="28" t="s">
        <v>38</v>
      </c>
      <c r="D61" s="29" t="s">
        <v>39</v>
      </c>
      <c r="E61" s="29" t="s">
        <v>40</v>
      </c>
      <c r="F61" s="30" t="s">
        <v>41</v>
      </c>
      <c r="G61" s="31"/>
      <c r="H61" s="30" t="s">
        <v>47</v>
      </c>
      <c r="I61" s="31"/>
      <c r="J61" s="32" t="s">
        <v>49</v>
      </c>
      <c r="K61" s="33" t="s">
        <v>41</v>
      </c>
      <c r="L61" s="34" t="s">
        <v>47</v>
      </c>
      <c r="M61" s="35" t="s">
        <v>51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37"/>
      <c r="B62" s="26" t="s">
        <v>54</v>
      </c>
      <c r="C62" s="38">
        <v>15.0</v>
      </c>
      <c r="D62" s="39">
        <v>10.0</v>
      </c>
      <c r="E62" s="39">
        <v>10.0</v>
      </c>
      <c r="F62" s="39">
        <v>15.0</v>
      </c>
      <c r="G62" s="39">
        <v>5.0</v>
      </c>
      <c r="H62" s="39">
        <v>5.0</v>
      </c>
      <c r="I62" s="39">
        <v>15.0</v>
      </c>
      <c r="J62" s="37"/>
      <c r="K62" s="40" t="s">
        <v>62</v>
      </c>
      <c r="L62" s="40" t="s">
        <v>62</v>
      </c>
      <c r="M62" s="21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41"/>
      <c r="B63" s="42" t="s">
        <v>8</v>
      </c>
      <c r="C63" s="41"/>
      <c r="D63" s="41"/>
      <c r="E63" s="41"/>
      <c r="F63" s="41"/>
      <c r="G63" s="41"/>
      <c r="H63" s="41"/>
      <c r="I63" s="41"/>
      <c r="J63" s="41"/>
      <c r="K63" s="25"/>
      <c r="L63" s="25"/>
      <c r="M63" s="2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44">
        <v>1.0</v>
      </c>
      <c r="B64" s="45" t="s">
        <v>63</v>
      </c>
      <c r="C64" s="47"/>
      <c r="D64" s="49"/>
      <c r="E64" s="47" t="s">
        <v>71</v>
      </c>
      <c r="F64" s="49"/>
      <c r="G64" s="49"/>
      <c r="H64" s="47"/>
      <c r="I64" s="49"/>
      <c r="J64" s="49">
        <f t="shared" ref="J64:J70" si="7">IF(C64="X",$C$7,0)+IF(D64="X",$D$7,0)+IF(E64="X",$E$7,0)+IF(F64="X",$F$7,0)+IF(G64="X",$G$7,0)+IF(H64="X",$H$7,0)+IF(I64="X",$I$7,0)</f>
        <v>10</v>
      </c>
      <c r="K64" s="53"/>
      <c r="L64" s="54"/>
      <c r="M64" s="54">
        <f t="shared" ref="M64:M70" si="8">sum(K64:L64)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44">
        <v>2.0</v>
      </c>
      <c r="B65" s="56" t="s">
        <v>64</v>
      </c>
      <c r="C65" s="47"/>
      <c r="D65" s="47" t="s">
        <v>71</v>
      </c>
      <c r="E65" s="47" t="s">
        <v>71</v>
      </c>
      <c r="F65" s="49"/>
      <c r="G65" s="49"/>
      <c r="H65" s="47"/>
      <c r="I65" s="49"/>
      <c r="J65" s="49">
        <f t="shared" si="7"/>
        <v>20</v>
      </c>
      <c r="K65" s="53"/>
      <c r="L65" s="53"/>
      <c r="M65" s="54">
        <f t="shared" si="8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44">
        <v>3.0</v>
      </c>
      <c r="B66" s="56" t="s">
        <v>65</v>
      </c>
      <c r="C66" s="47"/>
      <c r="D66" s="49"/>
      <c r="E66" s="47" t="s">
        <v>71</v>
      </c>
      <c r="F66" s="49"/>
      <c r="G66" s="49"/>
      <c r="H66" s="47"/>
      <c r="I66" s="49"/>
      <c r="J66" s="49">
        <f t="shared" si="7"/>
        <v>10</v>
      </c>
      <c r="K66" s="54"/>
      <c r="L66" s="53"/>
      <c r="M66" s="54">
        <f t="shared" si="8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44">
        <v>4.0</v>
      </c>
      <c r="B67" s="56" t="s">
        <v>66</v>
      </c>
      <c r="C67" s="47" t="s">
        <v>71</v>
      </c>
      <c r="D67" s="47" t="s">
        <v>71</v>
      </c>
      <c r="E67" s="47" t="s">
        <v>71</v>
      </c>
      <c r="F67" s="49"/>
      <c r="G67" s="49"/>
      <c r="H67" s="47"/>
      <c r="I67" s="49"/>
      <c r="J67" s="49">
        <f t="shared" si="7"/>
        <v>35</v>
      </c>
      <c r="K67" s="53"/>
      <c r="L67" s="53"/>
      <c r="M67" s="54">
        <f t="shared" si="8"/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44">
        <v>5.0</v>
      </c>
      <c r="B68" s="56" t="s">
        <v>67</v>
      </c>
      <c r="C68" s="47"/>
      <c r="D68" s="47"/>
      <c r="E68" s="47" t="s">
        <v>71</v>
      </c>
      <c r="F68" s="49"/>
      <c r="G68" s="49"/>
      <c r="H68" s="47"/>
      <c r="I68" s="49"/>
      <c r="J68" s="49">
        <f t="shared" si="7"/>
        <v>10</v>
      </c>
      <c r="K68" s="53"/>
      <c r="L68" s="53"/>
      <c r="M68" s="54">
        <f t="shared" si="8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78">
        <v>6.0</v>
      </c>
      <c r="B69" s="56" t="s">
        <v>68</v>
      </c>
      <c r="C69" s="47" t="s">
        <v>71</v>
      </c>
      <c r="D69" s="47" t="s">
        <v>71</v>
      </c>
      <c r="E69" s="47" t="s">
        <v>71</v>
      </c>
      <c r="F69" s="49"/>
      <c r="G69" s="49"/>
      <c r="H69" s="47"/>
      <c r="I69" s="49"/>
      <c r="J69" s="49">
        <f t="shared" si="7"/>
        <v>35</v>
      </c>
      <c r="K69" s="53"/>
      <c r="L69" s="53"/>
      <c r="M69" s="54">
        <f t="shared" si="8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78">
        <v>7.0</v>
      </c>
      <c r="B70" s="56" t="s">
        <v>69</v>
      </c>
      <c r="C70" s="47"/>
      <c r="D70" s="47"/>
      <c r="E70" s="47" t="s">
        <v>71</v>
      </c>
      <c r="F70" s="49"/>
      <c r="G70" s="49"/>
      <c r="H70" s="47"/>
      <c r="I70" s="49"/>
      <c r="J70" s="49">
        <f t="shared" si="7"/>
        <v>10</v>
      </c>
      <c r="K70" s="53"/>
      <c r="L70" s="53"/>
      <c r="M70" s="54">
        <f t="shared" si="8"/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23"/>
      <c r="C71" s="16"/>
      <c r="D71" s="16"/>
      <c r="E71" s="16"/>
      <c r="F71" s="16"/>
      <c r="G71" s="16"/>
      <c r="H71" s="58" t="s">
        <v>100</v>
      </c>
      <c r="J71" s="58">
        <f>SUM(J62:J70)</f>
        <v>130</v>
      </c>
      <c r="K71" s="16"/>
      <c r="L71" s="63" t="s">
        <v>102</v>
      </c>
      <c r="M71" s="66">
        <f>SUM(M64:M70)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23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23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23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2" t="s">
        <v>27</v>
      </c>
      <c r="B75" s="68" t="s">
        <v>145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2" t="s">
        <v>6</v>
      </c>
      <c r="B76" s="69">
        <v>5.0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2" t="s">
        <v>2</v>
      </c>
      <c r="B77" s="20" t="s">
        <v>70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2" t="s">
        <v>8</v>
      </c>
      <c r="B78" s="22" t="s">
        <v>72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23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24" t="s">
        <v>9</v>
      </c>
      <c r="B80" s="26" t="s">
        <v>37</v>
      </c>
      <c r="C80" s="28" t="s">
        <v>38</v>
      </c>
      <c r="D80" s="29" t="s">
        <v>39</v>
      </c>
      <c r="E80" s="29" t="s">
        <v>40</v>
      </c>
      <c r="F80" s="30" t="s">
        <v>41</v>
      </c>
      <c r="G80" s="31"/>
      <c r="H80" s="30" t="s">
        <v>47</v>
      </c>
      <c r="I80" s="31"/>
      <c r="J80" s="32" t="s">
        <v>49</v>
      </c>
      <c r="K80" s="33" t="s">
        <v>41</v>
      </c>
      <c r="L80" s="34" t="s">
        <v>47</v>
      </c>
      <c r="M80" s="35" t="s">
        <v>51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37"/>
      <c r="B81" s="26" t="s">
        <v>54</v>
      </c>
      <c r="C81" s="38">
        <v>15.0</v>
      </c>
      <c r="D81" s="39">
        <v>10.0</v>
      </c>
      <c r="E81" s="39">
        <v>10.0</v>
      </c>
      <c r="F81" s="39">
        <v>15.0</v>
      </c>
      <c r="G81" s="39">
        <v>5.0</v>
      </c>
      <c r="H81" s="39">
        <v>5.0</v>
      </c>
      <c r="I81" s="39">
        <v>15.0</v>
      </c>
      <c r="J81" s="37"/>
      <c r="K81" s="40" t="s">
        <v>62</v>
      </c>
      <c r="L81" s="40" t="s">
        <v>62</v>
      </c>
      <c r="M81" s="21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41"/>
      <c r="B82" s="42" t="s">
        <v>8</v>
      </c>
      <c r="C82" s="41"/>
      <c r="D82" s="41"/>
      <c r="E82" s="41"/>
      <c r="F82" s="41"/>
      <c r="G82" s="41"/>
      <c r="H82" s="41"/>
      <c r="I82" s="41"/>
      <c r="J82" s="41"/>
      <c r="K82" s="25"/>
      <c r="L82" s="25"/>
      <c r="M82" s="2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44">
        <v>1.0</v>
      </c>
      <c r="B83" s="45" t="s">
        <v>73</v>
      </c>
      <c r="C83" s="47" t="s">
        <v>71</v>
      </c>
      <c r="D83" s="49"/>
      <c r="E83" s="47" t="s">
        <v>71</v>
      </c>
      <c r="F83" s="49"/>
      <c r="G83" s="49"/>
      <c r="H83" s="47"/>
      <c r="I83" s="49"/>
      <c r="J83" s="49">
        <f t="shared" ref="J83:J89" si="9">IF(C83="X",$C$7,0)+IF(D83="X",$D$7,0)+IF(E83="X",$E$7,0)+IF(F83="X",$F$7,0)+IF(G83="X",$G$7,0)+IF(H83="X",$H$7,0)+IF(I83="X",$I$7,0)</f>
        <v>25</v>
      </c>
      <c r="K83" s="53"/>
      <c r="L83" s="54"/>
      <c r="M83" s="54">
        <f t="shared" ref="M83:M89" si="10">sum(K83:L83)</f>
        <v>0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44">
        <v>2.0</v>
      </c>
      <c r="B84" s="56" t="s">
        <v>74</v>
      </c>
      <c r="C84" s="47"/>
      <c r="D84" s="47" t="s">
        <v>71</v>
      </c>
      <c r="E84" s="47" t="s">
        <v>71</v>
      </c>
      <c r="F84" s="49"/>
      <c r="G84" s="49"/>
      <c r="H84" s="47"/>
      <c r="I84" s="49"/>
      <c r="J84" s="49">
        <f t="shared" si="9"/>
        <v>20</v>
      </c>
      <c r="K84" s="53"/>
      <c r="L84" s="53"/>
      <c r="M84" s="54">
        <f t="shared" si="10"/>
        <v>0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44">
        <v>3.0</v>
      </c>
      <c r="B85" s="56" t="s">
        <v>75</v>
      </c>
      <c r="C85" s="47"/>
      <c r="D85" s="49"/>
      <c r="E85" s="47" t="s">
        <v>71</v>
      </c>
      <c r="F85" s="49"/>
      <c r="G85" s="49"/>
      <c r="H85" s="47"/>
      <c r="I85" s="49"/>
      <c r="J85" s="49">
        <f t="shared" si="9"/>
        <v>10</v>
      </c>
      <c r="K85" s="54"/>
      <c r="L85" s="53"/>
      <c r="M85" s="54">
        <f t="shared" si="10"/>
        <v>0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44">
        <v>4.0</v>
      </c>
      <c r="B86" s="56" t="s">
        <v>76</v>
      </c>
      <c r="C86" s="47" t="s">
        <v>71</v>
      </c>
      <c r="D86" s="49"/>
      <c r="E86" s="47" t="s">
        <v>71</v>
      </c>
      <c r="F86" s="49"/>
      <c r="G86" s="49"/>
      <c r="H86" s="47"/>
      <c r="I86" s="49"/>
      <c r="J86" s="49">
        <f t="shared" si="9"/>
        <v>25</v>
      </c>
      <c r="K86" s="53"/>
      <c r="L86" s="53"/>
      <c r="M86" s="54">
        <f t="shared" si="10"/>
        <v>0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44">
        <v>5.0</v>
      </c>
      <c r="B87" s="56" t="s">
        <v>77</v>
      </c>
      <c r="C87" s="47"/>
      <c r="D87" s="47"/>
      <c r="E87" s="47" t="s">
        <v>71</v>
      </c>
      <c r="F87" s="49"/>
      <c r="G87" s="49"/>
      <c r="H87" s="47"/>
      <c r="I87" s="49"/>
      <c r="J87" s="49">
        <f t="shared" si="9"/>
        <v>10</v>
      </c>
      <c r="K87" s="53"/>
      <c r="L87" s="53"/>
      <c r="M87" s="54">
        <f t="shared" si="10"/>
        <v>0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78">
        <v>6.0</v>
      </c>
      <c r="B88" s="56" t="s">
        <v>78</v>
      </c>
      <c r="C88" s="47" t="s">
        <v>71</v>
      </c>
      <c r="D88" s="47" t="s">
        <v>71</v>
      </c>
      <c r="E88" s="47" t="s">
        <v>71</v>
      </c>
      <c r="F88" s="49"/>
      <c r="G88" s="49"/>
      <c r="H88" s="47"/>
      <c r="I88" s="49"/>
      <c r="J88" s="49">
        <f t="shared" si="9"/>
        <v>35</v>
      </c>
      <c r="K88" s="53"/>
      <c r="L88" s="53"/>
      <c r="M88" s="54">
        <f t="shared" si="10"/>
        <v>0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78">
        <v>7.0</v>
      </c>
      <c r="B89" s="56" t="s">
        <v>79</v>
      </c>
      <c r="C89" s="47"/>
      <c r="D89" s="47"/>
      <c r="E89" s="47" t="s">
        <v>71</v>
      </c>
      <c r="F89" s="49"/>
      <c r="G89" s="49"/>
      <c r="H89" s="47"/>
      <c r="I89" s="49"/>
      <c r="J89" s="49">
        <f t="shared" si="9"/>
        <v>10</v>
      </c>
      <c r="K89" s="53"/>
      <c r="L89" s="53"/>
      <c r="M89" s="54">
        <f t="shared" si="10"/>
        <v>0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23"/>
      <c r="C90" s="16"/>
      <c r="D90" s="16"/>
      <c r="E90" s="16"/>
      <c r="F90" s="16"/>
      <c r="G90" s="16"/>
      <c r="H90" s="58" t="s">
        <v>100</v>
      </c>
      <c r="J90" s="58">
        <f>SUM(J81:J89)</f>
        <v>135</v>
      </c>
      <c r="K90" s="16"/>
      <c r="L90" s="63" t="s">
        <v>102</v>
      </c>
      <c r="M90" s="66">
        <f>SUM(M83:M89)</f>
        <v>0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23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23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23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2" t="s">
        <v>27</v>
      </c>
      <c r="B94" s="68" t="s">
        <v>145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2" t="s">
        <v>6</v>
      </c>
      <c r="B95" s="69">
        <v>6.0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2" t="s">
        <v>2</v>
      </c>
      <c r="B96" s="20" t="s">
        <v>70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2" t="s">
        <v>8</v>
      </c>
      <c r="B97" s="22" t="s">
        <v>80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23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24" t="s">
        <v>9</v>
      </c>
      <c r="B99" s="26" t="s">
        <v>37</v>
      </c>
      <c r="C99" s="28" t="s">
        <v>38</v>
      </c>
      <c r="D99" s="29" t="s">
        <v>39</v>
      </c>
      <c r="E99" s="29" t="s">
        <v>40</v>
      </c>
      <c r="F99" s="30" t="s">
        <v>41</v>
      </c>
      <c r="G99" s="31"/>
      <c r="H99" s="30" t="s">
        <v>47</v>
      </c>
      <c r="I99" s="31"/>
      <c r="J99" s="32" t="s">
        <v>49</v>
      </c>
      <c r="K99" s="33" t="s">
        <v>41</v>
      </c>
      <c r="L99" s="34" t="s">
        <v>47</v>
      </c>
      <c r="M99" s="35" t="s">
        <v>51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37"/>
      <c r="B100" s="26" t="s">
        <v>54</v>
      </c>
      <c r="C100" s="38">
        <v>15.0</v>
      </c>
      <c r="D100" s="39">
        <v>10.0</v>
      </c>
      <c r="E100" s="39">
        <v>10.0</v>
      </c>
      <c r="F100" s="39">
        <v>15.0</v>
      </c>
      <c r="G100" s="39">
        <v>5.0</v>
      </c>
      <c r="H100" s="39">
        <v>5.0</v>
      </c>
      <c r="I100" s="39">
        <v>15.0</v>
      </c>
      <c r="J100" s="37"/>
      <c r="K100" s="40" t="s">
        <v>62</v>
      </c>
      <c r="L100" s="40" t="s">
        <v>62</v>
      </c>
      <c r="M100" s="21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41"/>
      <c r="B101" s="42" t="s">
        <v>8</v>
      </c>
      <c r="C101" s="41"/>
      <c r="D101" s="41"/>
      <c r="E101" s="41"/>
      <c r="F101" s="41"/>
      <c r="G101" s="41"/>
      <c r="H101" s="41"/>
      <c r="I101" s="41"/>
      <c r="J101" s="41"/>
      <c r="K101" s="25"/>
      <c r="L101" s="25"/>
      <c r="M101" s="25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44">
        <v>1.0</v>
      </c>
      <c r="B102" s="45" t="s">
        <v>81</v>
      </c>
      <c r="C102" s="47" t="s">
        <v>71</v>
      </c>
      <c r="D102" s="49"/>
      <c r="E102" s="47" t="s">
        <v>71</v>
      </c>
      <c r="F102" s="49"/>
      <c r="G102" s="49"/>
      <c r="H102" s="47"/>
      <c r="I102" s="49"/>
      <c r="J102" s="49">
        <f t="shared" ref="J102:J106" si="11">IF(C102="X",$C$7,0)+IF(D102="X",$D$7,0)+IF(E102="X",$E$7,0)+IF(F102="X",$F$7,0)+IF(G102="X",$G$7,0)+IF(H102="X",$H$7,0)+IF(I102="X",$I$7,0)</f>
        <v>25</v>
      </c>
      <c r="K102" s="53"/>
      <c r="L102" s="54"/>
      <c r="M102" s="54">
        <f t="shared" ref="M102:M106" si="12">sum(K102:L102)</f>
        <v>0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44">
        <v>2.0</v>
      </c>
      <c r="B103" s="56" t="s">
        <v>82</v>
      </c>
      <c r="C103" s="47" t="s">
        <v>71</v>
      </c>
      <c r="D103" s="47" t="s">
        <v>71</v>
      </c>
      <c r="E103" s="47" t="s">
        <v>71</v>
      </c>
      <c r="F103" s="49"/>
      <c r="G103" s="49"/>
      <c r="H103" s="47"/>
      <c r="I103" s="49"/>
      <c r="J103" s="49">
        <f t="shared" si="11"/>
        <v>35</v>
      </c>
      <c r="K103" s="53"/>
      <c r="L103" s="53"/>
      <c r="M103" s="54">
        <f t="shared" si="12"/>
        <v>0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44">
        <v>3.0</v>
      </c>
      <c r="B104" s="56" t="s">
        <v>83</v>
      </c>
      <c r="C104" s="47" t="s">
        <v>71</v>
      </c>
      <c r="D104" s="49"/>
      <c r="E104" s="47" t="s">
        <v>71</v>
      </c>
      <c r="F104" s="49"/>
      <c r="G104" s="49"/>
      <c r="H104" s="47"/>
      <c r="I104" s="49"/>
      <c r="J104" s="49">
        <f t="shared" si="11"/>
        <v>25</v>
      </c>
      <c r="K104" s="54"/>
      <c r="L104" s="53"/>
      <c r="M104" s="54">
        <f t="shared" si="12"/>
        <v>0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44">
        <v>4.0</v>
      </c>
      <c r="B105" s="56" t="s">
        <v>84</v>
      </c>
      <c r="C105" s="47" t="s">
        <v>71</v>
      </c>
      <c r="D105" s="49"/>
      <c r="E105" s="47" t="s">
        <v>71</v>
      </c>
      <c r="F105" s="49"/>
      <c r="G105" s="49"/>
      <c r="H105" s="47"/>
      <c r="I105" s="49"/>
      <c r="J105" s="49">
        <f t="shared" si="11"/>
        <v>25</v>
      </c>
      <c r="K105" s="53"/>
      <c r="L105" s="53"/>
      <c r="M105" s="54">
        <f t="shared" si="12"/>
        <v>0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44">
        <v>5.0</v>
      </c>
      <c r="B106" s="56" t="s">
        <v>85</v>
      </c>
      <c r="C106" s="47" t="s">
        <v>71</v>
      </c>
      <c r="D106" s="47"/>
      <c r="E106" s="47" t="s">
        <v>71</v>
      </c>
      <c r="F106" s="49"/>
      <c r="G106" s="49"/>
      <c r="H106" s="47"/>
      <c r="I106" s="49"/>
      <c r="J106" s="49">
        <f t="shared" si="11"/>
        <v>25</v>
      </c>
      <c r="K106" s="53"/>
      <c r="L106" s="53"/>
      <c r="M106" s="54">
        <f t="shared" si="12"/>
        <v>0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23"/>
      <c r="C107" s="16"/>
      <c r="D107" s="16"/>
      <c r="E107" s="16"/>
      <c r="F107" s="16"/>
      <c r="G107" s="16"/>
      <c r="H107" s="58" t="s">
        <v>100</v>
      </c>
      <c r="J107" s="58">
        <f>SUM(J100:J106)</f>
        <v>135</v>
      </c>
      <c r="K107" s="16"/>
      <c r="L107" s="63" t="s">
        <v>102</v>
      </c>
      <c r="M107" s="66">
        <f>SUM(M102:M106)</f>
        <v>0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23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23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23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79" t="s">
        <v>27</v>
      </c>
      <c r="B111" s="80" t="s">
        <v>146</v>
      </c>
      <c r="C111" s="81"/>
      <c r="D111" s="81"/>
      <c r="E111" s="81"/>
      <c r="F111" s="81"/>
      <c r="G111" s="81"/>
      <c r="H111" s="81"/>
      <c r="I111" s="81"/>
      <c r="J111" s="81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79" t="s">
        <v>6</v>
      </c>
      <c r="B112" s="82">
        <v>7.0</v>
      </c>
      <c r="C112" s="81"/>
      <c r="D112" s="81"/>
      <c r="E112" s="81"/>
      <c r="F112" s="81"/>
      <c r="G112" s="81"/>
      <c r="H112" s="81"/>
      <c r="I112" s="81"/>
      <c r="J112" s="81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79" t="s">
        <v>2</v>
      </c>
      <c r="B113" s="83" t="s">
        <v>70</v>
      </c>
      <c r="C113" s="81"/>
      <c r="D113" s="81"/>
      <c r="E113" s="81"/>
      <c r="F113" s="81"/>
      <c r="G113" s="81"/>
      <c r="H113" s="81"/>
      <c r="I113" s="81"/>
      <c r="J113" s="81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79" t="s">
        <v>8</v>
      </c>
      <c r="B114" s="84" t="s">
        <v>86</v>
      </c>
      <c r="C114" s="81"/>
      <c r="D114" s="81"/>
      <c r="E114" s="81"/>
      <c r="F114" s="81"/>
      <c r="G114" s="81"/>
      <c r="H114" s="81"/>
      <c r="I114" s="81"/>
      <c r="J114" s="81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85" t="s">
        <v>9</v>
      </c>
      <c r="B116" s="86" t="s">
        <v>37</v>
      </c>
      <c r="C116" s="87" t="s">
        <v>38</v>
      </c>
      <c r="D116" s="88" t="s">
        <v>39</v>
      </c>
      <c r="E116" s="88" t="s">
        <v>40</v>
      </c>
      <c r="F116" s="89" t="s">
        <v>41</v>
      </c>
      <c r="G116" s="31"/>
      <c r="H116" s="89" t="s">
        <v>47</v>
      </c>
      <c r="I116" s="31"/>
      <c r="J116" s="87" t="s">
        <v>49</v>
      </c>
      <c r="K116" s="33" t="s">
        <v>41</v>
      </c>
      <c r="L116" s="34" t="s">
        <v>47</v>
      </c>
      <c r="M116" s="35" t="s">
        <v>51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37"/>
      <c r="B117" s="86" t="s">
        <v>54</v>
      </c>
      <c r="C117" s="90">
        <v>15.0</v>
      </c>
      <c r="D117" s="91">
        <v>10.0</v>
      </c>
      <c r="E117" s="91">
        <v>10.0</v>
      </c>
      <c r="F117" s="91">
        <v>15.0</v>
      </c>
      <c r="G117" s="91">
        <v>5.0</v>
      </c>
      <c r="H117" s="91">
        <v>5.0</v>
      </c>
      <c r="I117" s="91">
        <v>15.0</v>
      </c>
      <c r="J117" s="37"/>
      <c r="K117" s="40" t="s">
        <v>62</v>
      </c>
      <c r="L117" s="40" t="s">
        <v>62</v>
      </c>
      <c r="M117" s="21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41"/>
      <c r="B118" s="92" t="s">
        <v>8</v>
      </c>
      <c r="C118" s="41"/>
      <c r="D118" s="41"/>
      <c r="E118" s="41"/>
      <c r="F118" s="41"/>
      <c r="G118" s="41"/>
      <c r="H118" s="41"/>
      <c r="I118" s="41"/>
      <c r="J118" s="41"/>
      <c r="K118" s="25"/>
      <c r="L118" s="25"/>
      <c r="M118" s="25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54">
        <v>1.0</v>
      </c>
      <c r="B119" s="93" t="s">
        <v>87</v>
      </c>
      <c r="C119" s="94" t="s">
        <v>71</v>
      </c>
      <c r="D119" s="94" t="s">
        <v>71</v>
      </c>
      <c r="E119" s="94" t="s">
        <v>71</v>
      </c>
      <c r="F119" s="95"/>
      <c r="G119" s="95"/>
      <c r="H119" s="95"/>
      <c r="I119" s="95"/>
      <c r="J119" s="95">
        <f t="shared" ref="J119:J123" si="13">IF(C119="X",$C$7,0)+IF(D119="X",$D$7,0)+IF(E119="X",$E$7,0)+IF(F119="X",$F$7,0)+IF(G119="X",$G$7,0)+IF(H119="X",$H$7,0)+IF(I119="X",$I$7,0)</f>
        <v>35</v>
      </c>
      <c r="K119" s="53"/>
      <c r="L119" s="54"/>
      <c r="M119" s="54">
        <f t="shared" ref="M119:M123" si="14">sum(K119:L119)</f>
        <v>0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54">
        <v>2.0</v>
      </c>
      <c r="B120" s="93" t="s">
        <v>89</v>
      </c>
      <c r="C120" s="94" t="s">
        <v>71</v>
      </c>
      <c r="D120" s="95"/>
      <c r="E120" s="94" t="s">
        <v>71</v>
      </c>
      <c r="F120" s="95"/>
      <c r="G120" s="95"/>
      <c r="H120" s="95"/>
      <c r="I120" s="95"/>
      <c r="J120" s="95">
        <f t="shared" si="13"/>
        <v>25</v>
      </c>
      <c r="K120" s="53"/>
      <c r="L120" s="53"/>
      <c r="M120" s="54">
        <f t="shared" si="14"/>
        <v>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54">
        <v>3.0</v>
      </c>
      <c r="B121" s="93" t="s">
        <v>90</v>
      </c>
      <c r="C121" s="94" t="s">
        <v>71</v>
      </c>
      <c r="D121" s="95"/>
      <c r="E121" s="94" t="s">
        <v>71</v>
      </c>
      <c r="F121" s="95"/>
      <c r="G121" s="95"/>
      <c r="H121" s="95"/>
      <c r="I121" s="95"/>
      <c r="J121" s="95">
        <f t="shared" si="13"/>
        <v>25</v>
      </c>
      <c r="K121" s="54"/>
      <c r="L121" s="53"/>
      <c r="M121" s="54">
        <f t="shared" si="14"/>
        <v>0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54">
        <v>4.0</v>
      </c>
      <c r="B122" s="93" t="s">
        <v>91</v>
      </c>
      <c r="C122" s="94" t="s">
        <v>71</v>
      </c>
      <c r="D122" s="95"/>
      <c r="E122" s="94" t="s">
        <v>71</v>
      </c>
      <c r="F122" s="95"/>
      <c r="G122" s="95"/>
      <c r="H122" s="95"/>
      <c r="I122" s="95"/>
      <c r="J122" s="95">
        <f t="shared" si="13"/>
        <v>25</v>
      </c>
      <c r="K122" s="53"/>
      <c r="L122" s="53"/>
      <c r="M122" s="54">
        <f t="shared" si="14"/>
        <v>0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54">
        <v>5.0</v>
      </c>
      <c r="B123" s="93" t="s">
        <v>92</v>
      </c>
      <c r="C123" s="94" t="s">
        <v>71</v>
      </c>
      <c r="D123" s="95"/>
      <c r="E123" s="94" t="s">
        <v>71</v>
      </c>
      <c r="F123" s="95"/>
      <c r="G123" s="95"/>
      <c r="H123" s="95"/>
      <c r="I123" s="95"/>
      <c r="J123" s="95">
        <f t="shared" si="13"/>
        <v>25</v>
      </c>
      <c r="K123" s="53"/>
      <c r="L123" s="53"/>
      <c r="M123" s="54">
        <f t="shared" si="14"/>
        <v>0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81"/>
      <c r="B124" s="81"/>
      <c r="C124" s="81"/>
      <c r="D124" s="81"/>
      <c r="E124" s="81"/>
      <c r="F124" s="81"/>
      <c r="G124" s="81"/>
      <c r="H124" s="96" t="s">
        <v>100</v>
      </c>
      <c r="J124" s="97">
        <f>SUM(J117:J123)</f>
        <v>135</v>
      </c>
      <c r="K124" s="16"/>
      <c r="L124" s="63" t="s">
        <v>102</v>
      </c>
      <c r="M124" s="66">
        <f>SUM(M119:M123)</f>
        <v>0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23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23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23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79" t="s">
        <v>27</v>
      </c>
      <c r="B128" s="80" t="s">
        <v>146</v>
      </c>
      <c r="C128" s="81"/>
      <c r="D128" s="81"/>
      <c r="E128" s="81"/>
      <c r="F128" s="81"/>
      <c r="G128" s="81"/>
      <c r="H128" s="81"/>
      <c r="I128" s="81"/>
      <c r="J128" s="81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79" t="s">
        <v>6</v>
      </c>
      <c r="B129" s="82">
        <v>8.0</v>
      </c>
      <c r="C129" s="81"/>
      <c r="D129" s="81"/>
      <c r="E129" s="81"/>
      <c r="F129" s="81"/>
      <c r="G129" s="81"/>
      <c r="H129" s="81"/>
      <c r="I129" s="81"/>
      <c r="J129" s="81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79" t="s">
        <v>2</v>
      </c>
      <c r="B130" s="83" t="s">
        <v>70</v>
      </c>
      <c r="C130" s="81"/>
      <c r="D130" s="81"/>
      <c r="E130" s="81"/>
      <c r="F130" s="81"/>
      <c r="G130" s="81"/>
      <c r="H130" s="81"/>
      <c r="I130" s="81"/>
      <c r="J130" s="81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79" t="s">
        <v>8</v>
      </c>
      <c r="B131" s="84" t="s">
        <v>93</v>
      </c>
      <c r="C131" s="81"/>
      <c r="D131" s="81"/>
      <c r="E131" s="81"/>
      <c r="F131" s="81"/>
      <c r="G131" s="81"/>
      <c r="H131" s="81"/>
      <c r="I131" s="81"/>
      <c r="J131" s="81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85" t="s">
        <v>9</v>
      </c>
      <c r="B133" s="86" t="s">
        <v>37</v>
      </c>
      <c r="C133" s="87" t="s">
        <v>38</v>
      </c>
      <c r="D133" s="88" t="s">
        <v>39</v>
      </c>
      <c r="E133" s="88" t="s">
        <v>40</v>
      </c>
      <c r="F133" s="89" t="s">
        <v>41</v>
      </c>
      <c r="G133" s="31"/>
      <c r="H133" s="89" t="s">
        <v>47</v>
      </c>
      <c r="I133" s="31"/>
      <c r="J133" s="87" t="s">
        <v>49</v>
      </c>
      <c r="K133" s="33" t="s">
        <v>41</v>
      </c>
      <c r="L133" s="34" t="s">
        <v>47</v>
      </c>
      <c r="M133" s="35" t="s">
        <v>51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37"/>
      <c r="B134" s="86" t="s">
        <v>54</v>
      </c>
      <c r="C134" s="90">
        <v>15.0</v>
      </c>
      <c r="D134" s="91">
        <v>10.0</v>
      </c>
      <c r="E134" s="91">
        <v>10.0</v>
      </c>
      <c r="F134" s="91">
        <v>15.0</v>
      </c>
      <c r="G134" s="91">
        <v>5.0</v>
      </c>
      <c r="H134" s="91">
        <v>5.0</v>
      </c>
      <c r="I134" s="91">
        <v>15.0</v>
      </c>
      <c r="J134" s="37"/>
      <c r="K134" s="40" t="s">
        <v>62</v>
      </c>
      <c r="L134" s="40" t="s">
        <v>62</v>
      </c>
      <c r="M134" s="21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41"/>
      <c r="B135" s="92" t="s">
        <v>8</v>
      </c>
      <c r="C135" s="41"/>
      <c r="D135" s="41"/>
      <c r="E135" s="41"/>
      <c r="F135" s="41"/>
      <c r="G135" s="41"/>
      <c r="H135" s="41"/>
      <c r="I135" s="41"/>
      <c r="J135" s="41"/>
      <c r="K135" s="25"/>
      <c r="L135" s="25"/>
      <c r="M135" s="25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98">
        <v>1.0</v>
      </c>
      <c r="B136" s="99" t="s">
        <v>94</v>
      </c>
      <c r="C136" s="100" t="s">
        <v>71</v>
      </c>
      <c r="D136" s="101"/>
      <c r="E136" s="100" t="s">
        <v>71</v>
      </c>
      <c r="F136" s="101"/>
      <c r="G136" s="101"/>
      <c r="H136" s="101"/>
      <c r="I136" s="101"/>
      <c r="J136" s="100">
        <v>20.0</v>
      </c>
      <c r="K136" s="53"/>
      <c r="L136" s="54"/>
      <c r="M136" s="54">
        <f t="shared" ref="M136:M141" si="15">sum(K136:L136)</f>
        <v>0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98">
        <v>2.0</v>
      </c>
      <c r="B137" s="99" t="s">
        <v>96</v>
      </c>
      <c r="C137" s="100" t="s">
        <v>71</v>
      </c>
      <c r="D137" s="101"/>
      <c r="E137" s="100" t="s">
        <v>71</v>
      </c>
      <c r="F137" s="101"/>
      <c r="G137" s="101"/>
      <c r="H137" s="101"/>
      <c r="I137" s="101"/>
      <c r="J137" s="100">
        <v>25.0</v>
      </c>
      <c r="K137" s="53"/>
      <c r="L137" s="53"/>
      <c r="M137" s="54">
        <f t="shared" si="15"/>
        <v>0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98">
        <v>3.0</v>
      </c>
      <c r="B138" s="99" t="s">
        <v>97</v>
      </c>
      <c r="C138" s="100" t="s">
        <v>71</v>
      </c>
      <c r="D138" s="101"/>
      <c r="E138" s="100" t="s">
        <v>71</v>
      </c>
      <c r="F138" s="101"/>
      <c r="G138" s="101"/>
      <c r="H138" s="101"/>
      <c r="I138" s="101"/>
      <c r="J138" s="100">
        <v>25.0</v>
      </c>
      <c r="K138" s="54"/>
      <c r="L138" s="53"/>
      <c r="M138" s="54">
        <f t="shared" si="15"/>
        <v>0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98">
        <v>4.0</v>
      </c>
      <c r="B139" s="99" t="s">
        <v>98</v>
      </c>
      <c r="C139" s="100" t="s">
        <v>71</v>
      </c>
      <c r="D139" s="101"/>
      <c r="E139" s="100" t="s">
        <v>71</v>
      </c>
      <c r="F139" s="101"/>
      <c r="G139" s="101"/>
      <c r="H139" s="101"/>
      <c r="I139" s="101"/>
      <c r="J139" s="100">
        <v>25.0</v>
      </c>
      <c r="K139" s="53"/>
      <c r="L139" s="53"/>
      <c r="M139" s="54">
        <f t="shared" si="15"/>
        <v>0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98">
        <v>5.0</v>
      </c>
      <c r="B140" s="99" t="s">
        <v>99</v>
      </c>
      <c r="C140" s="100" t="s">
        <v>71</v>
      </c>
      <c r="D140" s="101"/>
      <c r="E140" s="100" t="s">
        <v>71</v>
      </c>
      <c r="F140" s="101"/>
      <c r="G140" s="101"/>
      <c r="H140" s="101"/>
      <c r="I140" s="101"/>
      <c r="J140" s="100">
        <v>25.0</v>
      </c>
      <c r="K140" s="53"/>
      <c r="L140" s="53"/>
      <c r="M140" s="54">
        <f t="shared" si="15"/>
        <v>0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54">
        <v>6.0</v>
      </c>
      <c r="B141" s="102"/>
      <c r="C141" s="95"/>
      <c r="D141" s="95"/>
      <c r="E141" s="95"/>
      <c r="F141" s="95"/>
      <c r="G141" s="95"/>
      <c r="H141" s="95"/>
      <c r="I141" s="95"/>
      <c r="J141" s="95">
        <f>IF(C141="X",$C$7,0)+IF(D141="X",$D$7,0)+IF(E141="X",$E$7,0)+IF(F141="X",$F$7,0)+IF(G141="X",$G$7,0)+IF(H141="X",$H$7,0)+IF(I141="X",$I$7,0)</f>
        <v>0</v>
      </c>
      <c r="K141" s="53"/>
      <c r="L141" s="53"/>
      <c r="M141" s="54">
        <f t="shared" si="15"/>
        <v>0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61"/>
      <c r="B142" s="61"/>
      <c r="C142" s="61"/>
      <c r="D142" s="61"/>
      <c r="E142" s="61"/>
      <c r="F142" s="61"/>
      <c r="G142" s="61"/>
      <c r="H142" s="96" t="s">
        <v>100</v>
      </c>
      <c r="J142" s="97">
        <f>SUM(J134:J141)</f>
        <v>120</v>
      </c>
      <c r="K142" s="61"/>
      <c r="L142" s="63" t="s">
        <v>102</v>
      </c>
      <c r="M142" s="66">
        <f>sum(M136:M141)</f>
        <v>0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23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23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23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79" t="s">
        <v>27</v>
      </c>
      <c r="B146" s="80" t="s">
        <v>146</v>
      </c>
      <c r="C146" s="81"/>
      <c r="D146" s="81"/>
      <c r="E146" s="81"/>
      <c r="F146" s="81"/>
      <c r="G146" s="81"/>
      <c r="H146" s="81"/>
      <c r="I146" s="81"/>
      <c r="J146" s="81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79" t="s">
        <v>6</v>
      </c>
      <c r="B147" s="82">
        <v>9.0</v>
      </c>
      <c r="C147" s="81"/>
      <c r="D147" s="81"/>
      <c r="E147" s="81"/>
      <c r="F147" s="81"/>
      <c r="G147" s="81"/>
      <c r="H147" s="81"/>
      <c r="I147" s="81"/>
      <c r="J147" s="81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79" t="s">
        <v>2</v>
      </c>
      <c r="B148" s="83" t="s">
        <v>101</v>
      </c>
      <c r="C148" s="81"/>
      <c r="D148" s="81"/>
      <c r="E148" s="81"/>
      <c r="F148" s="81"/>
      <c r="G148" s="81"/>
      <c r="H148" s="81"/>
      <c r="I148" s="81"/>
      <c r="J148" s="81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79" t="s">
        <v>8</v>
      </c>
      <c r="B149" s="84" t="s">
        <v>103</v>
      </c>
      <c r="C149" s="81"/>
      <c r="D149" s="81"/>
      <c r="E149" s="81"/>
      <c r="F149" s="81"/>
      <c r="G149" s="81"/>
      <c r="H149" s="81"/>
      <c r="I149" s="81"/>
      <c r="J149" s="81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85" t="s">
        <v>9</v>
      </c>
      <c r="B151" s="86" t="s">
        <v>37</v>
      </c>
      <c r="C151" s="87" t="s">
        <v>38</v>
      </c>
      <c r="D151" s="88" t="s">
        <v>39</v>
      </c>
      <c r="E151" s="88" t="s">
        <v>40</v>
      </c>
      <c r="F151" s="89" t="s">
        <v>41</v>
      </c>
      <c r="G151" s="31"/>
      <c r="H151" s="89" t="s">
        <v>47</v>
      </c>
      <c r="I151" s="31"/>
      <c r="J151" s="87" t="s">
        <v>49</v>
      </c>
      <c r="K151" s="33" t="s">
        <v>41</v>
      </c>
      <c r="L151" s="34" t="s">
        <v>47</v>
      </c>
      <c r="M151" s="35" t="s">
        <v>51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37"/>
      <c r="B152" s="86" t="s">
        <v>54</v>
      </c>
      <c r="C152" s="90">
        <v>15.0</v>
      </c>
      <c r="D152" s="91">
        <v>10.0</v>
      </c>
      <c r="E152" s="91">
        <v>10.0</v>
      </c>
      <c r="F152" s="91">
        <v>15.0</v>
      </c>
      <c r="G152" s="91">
        <v>5.0</v>
      </c>
      <c r="H152" s="91">
        <v>5.0</v>
      </c>
      <c r="I152" s="91">
        <v>15.0</v>
      </c>
      <c r="J152" s="37"/>
      <c r="K152" s="40" t="s">
        <v>62</v>
      </c>
      <c r="L152" s="40" t="s">
        <v>62</v>
      </c>
      <c r="M152" s="21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41"/>
      <c r="B153" s="92" t="s">
        <v>8</v>
      </c>
      <c r="C153" s="41"/>
      <c r="D153" s="41"/>
      <c r="E153" s="41"/>
      <c r="F153" s="41"/>
      <c r="G153" s="41"/>
      <c r="H153" s="41"/>
      <c r="I153" s="41"/>
      <c r="J153" s="41"/>
      <c r="K153" s="25"/>
      <c r="L153" s="25"/>
      <c r="M153" s="25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98">
        <v>1.0</v>
      </c>
      <c r="B154" s="99" t="s">
        <v>104</v>
      </c>
      <c r="C154" s="103" t="s">
        <v>71</v>
      </c>
      <c r="D154" s="101"/>
      <c r="E154" s="100" t="s">
        <v>71</v>
      </c>
      <c r="F154" s="101"/>
      <c r="G154" s="101"/>
      <c r="H154" s="101"/>
      <c r="I154" s="101"/>
      <c r="J154" s="100">
        <v>20.0</v>
      </c>
      <c r="K154" s="53"/>
      <c r="L154" s="54"/>
      <c r="M154" s="54">
        <f t="shared" ref="M154:M159" si="16">sum(K154:L154)</f>
        <v>0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98">
        <v>2.0</v>
      </c>
      <c r="B155" s="99" t="s">
        <v>105</v>
      </c>
      <c r="C155" s="100" t="s">
        <v>71</v>
      </c>
      <c r="D155" s="101"/>
      <c r="E155" s="100" t="s">
        <v>71</v>
      </c>
      <c r="F155" s="101"/>
      <c r="G155" s="101"/>
      <c r="H155" s="101"/>
      <c r="I155" s="101"/>
      <c r="J155" s="100">
        <v>20.0</v>
      </c>
      <c r="K155" s="53"/>
      <c r="L155" s="53"/>
      <c r="M155" s="54">
        <f t="shared" si="16"/>
        <v>0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98">
        <v>3.0</v>
      </c>
      <c r="B156" s="99" t="s">
        <v>106</v>
      </c>
      <c r="C156" s="100" t="s">
        <v>71</v>
      </c>
      <c r="D156" s="101"/>
      <c r="E156" s="100" t="s">
        <v>71</v>
      </c>
      <c r="F156" s="101"/>
      <c r="G156" s="101"/>
      <c r="H156" s="101"/>
      <c r="I156" s="101"/>
      <c r="J156" s="100">
        <v>20.0</v>
      </c>
      <c r="K156" s="54"/>
      <c r="L156" s="53"/>
      <c r="M156" s="54">
        <f t="shared" si="16"/>
        <v>0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98">
        <v>4.0</v>
      </c>
      <c r="B157" s="99" t="s">
        <v>107</v>
      </c>
      <c r="C157" s="100" t="s">
        <v>71</v>
      </c>
      <c r="D157" s="101"/>
      <c r="E157" s="100" t="s">
        <v>71</v>
      </c>
      <c r="F157" s="101"/>
      <c r="G157" s="101"/>
      <c r="H157" s="101"/>
      <c r="I157" s="101"/>
      <c r="J157" s="100">
        <v>20.0</v>
      </c>
      <c r="K157" s="53"/>
      <c r="L157" s="53"/>
      <c r="M157" s="54">
        <f t="shared" si="16"/>
        <v>0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98">
        <v>5.0</v>
      </c>
      <c r="B158" s="99" t="s">
        <v>108</v>
      </c>
      <c r="C158" s="100" t="s">
        <v>71</v>
      </c>
      <c r="D158" s="101"/>
      <c r="E158" s="100" t="s">
        <v>71</v>
      </c>
      <c r="F158" s="101"/>
      <c r="G158" s="101"/>
      <c r="H158" s="101"/>
      <c r="I158" s="101"/>
      <c r="J158" s="100">
        <v>20.0</v>
      </c>
      <c r="K158" s="53"/>
      <c r="L158" s="53"/>
      <c r="M158" s="54">
        <f t="shared" si="16"/>
        <v>0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98">
        <v>6.0</v>
      </c>
      <c r="B159" s="99" t="s">
        <v>109</v>
      </c>
      <c r="C159" s="100" t="s">
        <v>71</v>
      </c>
      <c r="D159" s="101"/>
      <c r="E159" s="100" t="s">
        <v>71</v>
      </c>
      <c r="F159" s="101"/>
      <c r="G159" s="101"/>
      <c r="H159" s="101"/>
      <c r="I159" s="101"/>
      <c r="J159" s="100">
        <v>20.0</v>
      </c>
      <c r="K159" s="53"/>
      <c r="L159" s="53"/>
      <c r="M159" s="54">
        <f t="shared" si="16"/>
        <v>0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61"/>
      <c r="B160" s="61"/>
      <c r="C160" s="61"/>
      <c r="D160" s="61"/>
      <c r="E160" s="61"/>
      <c r="F160" s="61"/>
      <c r="G160" s="61"/>
      <c r="H160" s="96" t="s">
        <v>100</v>
      </c>
      <c r="J160" s="97">
        <f>SUM(J152:J159)</f>
        <v>120</v>
      </c>
      <c r="K160" s="61"/>
      <c r="L160" s="63" t="s">
        <v>102</v>
      </c>
      <c r="M160" s="66">
        <f>sum(M154:M159)</f>
        <v>0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23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23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23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79" t="s">
        <v>27</v>
      </c>
      <c r="B164" s="80" t="s">
        <v>146</v>
      </c>
      <c r="C164" s="81"/>
      <c r="D164" s="81"/>
      <c r="E164" s="81"/>
      <c r="F164" s="81"/>
      <c r="G164" s="81"/>
      <c r="H164" s="81"/>
      <c r="I164" s="81"/>
      <c r="J164" s="81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79" t="s">
        <v>6</v>
      </c>
      <c r="B165" s="82">
        <v>10.0</v>
      </c>
      <c r="C165" s="81"/>
      <c r="D165" s="81"/>
      <c r="E165" s="81"/>
      <c r="F165" s="81"/>
      <c r="G165" s="81"/>
      <c r="H165" s="81"/>
      <c r="I165" s="81"/>
      <c r="J165" s="81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79" t="s">
        <v>2</v>
      </c>
      <c r="B166" s="83" t="s">
        <v>101</v>
      </c>
      <c r="C166" s="81"/>
      <c r="D166" s="81"/>
      <c r="E166" s="81"/>
      <c r="F166" s="81"/>
      <c r="G166" s="81"/>
      <c r="H166" s="81"/>
      <c r="I166" s="81"/>
      <c r="J166" s="81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79" t="s">
        <v>8</v>
      </c>
      <c r="B167" s="84" t="s">
        <v>110</v>
      </c>
      <c r="C167" s="81"/>
      <c r="D167" s="81"/>
      <c r="E167" s="81"/>
      <c r="F167" s="81"/>
      <c r="G167" s="81"/>
      <c r="H167" s="81"/>
      <c r="I167" s="81"/>
      <c r="J167" s="81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85" t="s">
        <v>9</v>
      </c>
      <c r="B169" s="86" t="s">
        <v>37</v>
      </c>
      <c r="C169" s="87" t="s">
        <v>38</v>
      </c>
      <c r="D169" s="88" t="s">
        <v>39</v>
      </c>
      <c r="E169" s="88" t="s">
        <v>40</v>
      </c>
      <c r="F169" s="89" t="s">
        <v>41</v>
      </c>
      <c r="G169" s="31"/>
      <c r="H169" s="89" t="s">
        <v>47</v>
      </c>
      <c r="I169" s="31"/>
      <c r="J169" s="87" t="s">
        <v>49</v>
      </c>
      <c r="K169" s="33" t="s">
        <v>41</v>
      </c>
      <c r="L169" s="34" t="s">
        <v>47</v>
      </c>
      <c r="M169" s="35" t="s">
        <v>51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37"/>
      <c r="B170" s="86" t="s">
        <v>54</v>
      </c>
      <c r="C170" s="90">
        <v>15.0</v>
      </c>
      <c r="D170" s="91">
        <v>10.0</v>
      </c>
      <c r="E170" s="91">
        <v>10.0</v>
      </c>
      <c r="F170" s="91">
        <v>15.0</v>
      </c>
      <c r="G170" s="91">
        <v>5.0</v>
      </c>
      <c r="H170" s="91">
        <v>5.0</v>
      </c>
      <c r="I170" s="91">
        <v>15.0</v>
      </c>
      <c r="J170" s="37"/>
      <c r="K170" s="40" t="s">
        <v>62</v>
      </c>
      <c r="L170" s="40" t="s">
        <v>62</v>
      </c>
      <c r="M170" s="21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41"/>
      <c r="B171" s="92" t="s">
        <v>8</v>
      </c>
      <c r="C171" s="41"/>
      <c r="D171" s="41"/>
      <c r="E171" s="41"/>
      <c r="F171" s="41"/>
      <c r="G171" s="41"/>
      <c r="H171" s="41"/>
      <c r="I171" s="41"/>
      <c r="J171" s="41"/>
      <c r="K171" s="25"/>
      <c r="L171" s="25"/>
      <c r="M171" s="25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98">
        <v>1.0</v>
      </c>
      <c r="B172" s="99" t="s">
        <v>111</v>
      </c>
      <c r="C172" s="103" t="s">
        <v>71</v>
      </c>
      <c r="D172" s="101"/>
      <c r="E172" s="100" t="s">
        <v>71</v>
      </c>
      <c r="F172" s="101"/>
      <c r="G172" s="101"/>
      <c r="H172" s="101"/>
      <c r="I172" s="101"/>
      <c r="J172" s="100">
        <v>25.0</v>
      </c>
      <c r="K172" s="53"/>
      <c r="L172" s="54"/>
      <c r="M172" s="54">
        <f t="shared" ref="M172:M177" si="17">sum(K172:L172)</f>
        <v>0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98">
        <v>2.0</v>
      </c>
      <c r="B173" s="99" t="s">
        <v>112</v>
      </c>
      <c r="C173" s="100" t="s">
        <v>71</v>
      </c>
      <c r="D173" s="101"/>
      <c r="E173" s="100" t="s">
        <v>71</v>
      </c>
      <c r="F173" s="101"/>
      <c r="G173" s="101"/>
      <c r="H173" s="101"/>
      <c r="I173" s="101"/>
      <c r="J173" s="100">
        <v>25.0</v>
      </c>
      <c r="K173" s="53"/>
      <c r="L173" s="53"/>
      <c r="M173" s="54">
        <f t="shared" si="17"/>
        <v>0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98">
        <v>3.0</v>
      </c>
      <c r="B174" s="99" t="s">
        <v>113</v>
      </c>
      <c r="C174" s="100" t="s">
        <v>71</v>
      </c>
      <c r="D174" s="101"/>
      <c r="E174" s="100" t="s">
        <v>71</v>
      </c>
      <c r="F174" s="101"/>
      <c r="G174" s="101"/>
      <c r="H174" s="101"/>
      <c r="I174" s="101"/>
      <c r="J174" s="100">
        <v>25.0</v>
      </c>
      <c r="K174" s="54"/>
      <c r="L174" s="53"/>
      <c r="M174" s="54">
        <f t="shared" si="17"/>
        <v>0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98">
        <v>4.0</v>
      </c>
      <c r="B175" s="99" t="s">
        <v>114</v>
      </c>
      <c r="C175" s="100" t="s">
        <v>71</v>
      </c>
      <c r="D175" s="101"/>
      <c r="E175" s="100" t="s">
        <v>71</v>
      </c>
      <c r="F175" s="101"/>
      <c r="G175" s="101"/>
      <c r="H175" s="101"/>
      <c r="I175" s="101"/>
      <c r="J175" s="100">
        <v>25.0</v>
      </c>
      <c r="K175" s="53"/>
      <c r="L175" s="53"/>
      <c r="M175" s="54">
        <f t="shared" si="17"/>
        <v>0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98">
        <v>5.0</v>
      </c>
      <c r="B176" s="99" t="s">
        <v>115</v>
      </c>
      <c r="C176" s="100" t="s">
        <v>71</v>
      </c>
      <c r="D176" s="101"/>
      <c r="E176" s="100" t="s">
        <v>71</v>
      </c>
      <c r="F176" s="101"/>
      <c r="G176" s="101"/>
      <c r="H176" s="101"/>
      <c r="I176" s="101"/>
      <c r="J176" s="100">
        <v>25.0</v>
      </c>
      <c r="K176" s="53"/>
      <c r="L176" s="53"/>
      <c r="M176" s="54">
        <f t="shared" si="17"/>
        <v>0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54">
        <v>6.0</v>
      </c>
      <c r="B177" s="102"/>
      <c r="C177" s="95"/>
      <c r="D177" s="95"/>
      <c r="E177" s="95"/>
      <c r="F177" s="95"/>
      <c r="G177" s="95"/>
      <c r="H177" s="95"/>
      <c r="I177" s="95"/>
      <c r="J177" s="95">
        <f>IF(C177="X",$C$7,0)+IF(D177="X",$D$7,0)+IF(E177="X",$E$7,0)+IF(F177="X",$F$7,0)+IF(G177="X",$G$7,0)+IF(H177="X",$H$7,0)+IF(I177="X",$I$7,0)</f>
        <v>0</v>
      </c>
      <c r="K177" s="53"/>
      <c r="L177" s="53"/>
      <c r="M177" s="54">
        <f t="shared" si="17"/>
        <v>0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81"/>
      <c r="B178" s="81"/>
      <c r="C178" s="81"/>
      <c r="D178" s="81"/>
      <c r="E178" s="81"/>
      <c r="F178" s="81"/>
      <c r="G178" s="81"/>
      <c r="H178" s="96" t="s">
        <v>100</v>
      </c>
      <c r="J178" s="97">
        <f>SUM(J170:J177)</f>
        <v>125</v>
      </c>
      <c r="K178" s="61"/>
      <c r="L178" s="63" t="s">
        <v>102</v>
      </c>
      <c r="M178" s="66">
        <f>sum(M172:M177)</f>
        <v>0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23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23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23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79" t="s">
        <v>27</v>
      </c>
      <c r="B182" s="80" t="s">
        <v>147</v>
      </c>
      <c r="C182" s="81"/>
      <c r="D182" s="81"/>
      <c r="E182" s="81"/>
      <c r="F182" s="81"/>
      <c r="G182" s="81"/>
      <c r="H182" s="81"/>
      <c r="I182" s="81"/>
      <c r="J182" s="81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79" t="s">
        <v>6</v>
      </c>
      <c r="B183" s="82">
        <v>11.0</v>
      </c>
      <c r="C183" s="81"/>
      <c r="D183" s="81"/>
      <c r="E183" s="81"/>
      <c r="F183" s="81"/>
      <c r="G183" s="81"/>
      <c r="H183" s="81"/>
      <c r="I183" s="81"/>
      <c r="J183" s="81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79" t="s">
        <v>2</v>
      </c>
      <c r="B184" s="83" t="s">
        <v>101</v>
      </c>
      <c r="C184" s="81"/>
      <c r="D184" s="81"/>
      <c r="E184" s="81"/>
      <c r="F184" s="81"/>
      <c r="G184" s="81"/>
      <c r="H184" s="81"/>
      <c r="I184" s="81"/>
      <c r="J184" s="81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79" t="s">
        <v>8</v>
      </c>
      <c r="B185" s="84" t="s">
        <v>116</v>
      </c>
      <c r="C185" s="81"/>
      <c r="D185" s="81"/>
      <c r="E185" s="81"/>
      <c r="F185" s="81"/>
      <c r="G185" s="81"/>
      <c r="H185" s="81"/>
      <c r="I185" s="81"/>
      <c r="J185" s="81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85" t="s">
        <v>9</v>
      </c>
      <c r="B187" s="86" t="s">
        <v>37</v>
      </c>
      <c r="C187" s="87" t="s">
        <v>38</v>
      </c>
      <c r="D187" s="88" t="s">
        <v>39</v>
      </c>
      <c r="E187" s="88" t="s">
        <v>40</v>
      </c>
      <c r="F187" s="89" t="s">
        <v>41</v>
      </c>
      <c r="G187" s="31"/>
      <c r="H187" s="89" t="s">
        <v>47</v>
      </c>
      <c r="I187" s="31"/>
      <c r="J187" s="87" t="s">
        <v>49</v>
      </c>
      <c r="K187" s="33" t="s">
        <v>41</v>
      </c>
      <c r="L187" s="34" t="s">
        <v>47</v>
      </c>
      <c r="M187" s="35" t="s">
        <v>51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37"/>
      <c r="B188" s="86" t="s">
        <v>54</v>
      </c>
      <c r="C188" s="90">
        <v>15.0</v>
      </c>
      <c r="D188" s="91">
        <v>10.0</v>
      </c>
      <c r="E188" s="91">
        <v>10.0</v>
      </c>
      <c r="F188" s="91">
        <v>15.0</v>
      </c>
      <c r="G188" s="91">
        <v>5.0</v>
      </c>
      <c r="H188" s="91">
        <v>5.0</v>
      </c>
      <c r="I188" s="91">
        <v>15.0</v>
      </c>
      <c r="J188" s="37"/>
      <c r="K188" s="40" t="s">
        <v>62</v>
      </c>
      <c r="L188" s="40" t="s">
        <v>62</v>
      </c>
      <c r="M188" s="21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41"/>
      <c r="B189" s="92" t="s">
        <v>8</v>
      </c>
      <c r="C189" s="41"/>
      <c r="D189" s="41"/>
      <c r="E189" s="41"/>
      <c r="F189" s="41"/>
      <c r="G189" s="41"/>
      <c r="H189" s="41"/>
      <c r="I189" s="41"/>
      <c r="J189" s="41"/>
      <c r="K189" s="25"/>
      <c r="L189" s="25"/>
      <c r="M189" s="25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98">
        <v>1.0</v>
      </c>
      <c r="B190" s="99" t="s">
        <v>117</v>
      </c>
      <c r="C190" s="103" t="s">
        <v>71</v>
      </c>
      <c r="D190" s="101"/>
      <c r="E190" s="100" t="s">
        <v>71</v>
      </c>
      <c r="F190" s="101"/>
      <c r="G190" s="101"/>
      <c r="H190" s="101"/>
      <c r="I190" s="101"/>
      <c r="J190" s="100">
        <v>20.0</v>
      </c>
      <c r="K190" s="53"/>
      <c r="L190" s="54"/>
      <c r="M190" s="54">
        <f t="shared" ref="M190:M195" si="18">sum(K190:L190)</f>
        <v>0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98">
        <v>2.0</v>
      </c>
      <c r="B191" s="99" t="s">
        <v>118</v>
      </c>
      <c r="C191" s="100" t="s">
        <v>71</v>
      </c>
      <c r="D191" s="101"/>
      <c r="E191" s="100" t="s">
        <v>71</v>
      </c>
      <c r="F191" s="101"/>
      <c r="G191" s="101"/>
      <c r="H191" s="101"/>
      <c r="I191" s="101"/>
      <c r="J191" s="100">
        <v>20.0</v>
      </c>
      <c r="K191" s="53"/>
      <c r="L191" s="53"/>
      <c r="M191" s="54">
        <f t="shared" si="18"/>
        <v>0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98">
        <v>3.0</v>
      </c>
      <c r="B192" s="99" t="s">
        <v>119</v>
      </c>
      <c r="C192" s="100" t="s">
        <v>71</v>
      </c>
      <c r="D192" s="101"/>
      <c r="E192" s="100" t="s">
        <v>71</v>
      </c>
      <c r="F192" s="101"/>
      <c r="G192" s="101"/>
      <c r="H192" s="101"/>
      <c r="I192" s="101"/>
      <c r="J192" s="100">
        <v>25.0</v>
      </c>
      <c r="K192" s="54"/>
      <c r="L192" s="53"/>
      <c r="M192" s="54">
        <f t="shared" si="18"/>
        <v>0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98">
        <v>4.0</v>
      </c>
      <c r="B193" s="99" t="s">
        <v>120</v>
      </c>
      <c r="C193" s="100" t="s">
        <v>71</v>
      </c>
      <c r="D193" s="104" t="s">
        <v>71</v>
      </c>
      <c r="E193" s="101"/>
      <c r="F193" s="101"/>
      <c r="G193" s="101"/>
      <c r="H193" s="101"/>
      <c r="I193" s="101"/>
      <c r="J193" s="100">
        <v>25.0</v>
      </c>
      <c r="K193" s="53"/>
      <c r="L193" s="53"/>
      <c r="M193" s="54">
        <f t="shared" si="18"/>
        <v>0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98">
        <v>5.0</v>
      </c>
      <c r="B194" s="99" t="s">
        <v>121</v>
      </c>
      <c r="C194" s="100" t="s">
        <v>71</v>
      </c>
      <c r="D194" s="101"/>
      <c r="E194" s="100" t="s">
        <v>71</v>
      </c>
      <c r="F194" s="101"/>
      <c r="G194" s="101"/>
      <c r="H194" s="101"/>
      <c r="I194" s="101"/>
      <c r="J194" s="100">
        <v>20.0</v>
      </c>
      <c r="K194" s="53"/>
      <c r="L194" s="53"/>
      <c r="M194" s="54">
        <f t="shared" si="18"/>
        <v>0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98">
        <v>6.0</v>
      </c>
      <c r="B195" s="99" t="s">
        <v>122</v>
      </c>
      <c r="C195" s="100" t="s">
        <v>71</v>
      </c>
      <c r="D195" s="104" t="s">
        <v>71</v>
      </c>
      <c r="E195" s="101"/>
      <c r="F195" s="101"/>
      <c r="G195" s="101"/>
      <c r="H195" s="101"/>
      <c r="I195" s="101"/>
      <c r="J195" s="100">
        <v>25.0</v>
      </c>
      <c r="K195" s="53"/>
      <c r="L195" s="53"/>
      <c r="M195" s="54">
        <f t="shared" si="18"/>
        <v>0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81"/>
      <c r="B196" s="81"/>
      <c r="C196" s="81"/>
      <c r="D196" s="81"/>
      <c r="E196" s="81"/>
      <c r="F196" s="81"/>
      <c r="G196" s="81"/>
      <c r="H196" s="96" t="s">
        <v>100</v>
      </c>
      <c r="J196" s="97">
        <f>SUM(J188:J195)</f>
        <v>135</v>
      </c>
      <c r="K196" s="61"/>
      <c r="L196" s="63" t="s">
        <v>102</v>
      </c>
      <c r="M196" s="66">
        <f>sum(M190:M195)</f>
        <v>0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23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23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23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79" t="s">
        <v>27</v>
      </c>
      <c r="B200" s="80" t="s">
        <v>147</v>
      </c>
      <c r="C200" s="81"/>
      <c r="D200" s="81"/>
      <c r="E200" s="81"/>
      <c r="F200" s="81"/>
      <c r="G200" s="81"/>
      <c r="H200" s="81"/>
      <c r="I200" s="81"/>
      <c r="J200" s="81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79" t="s">
        <v>6</v>
      </c>
      <c r="B201" s="82">
        <v>12.0</v>
      </c>
      <c r="C201" s="81"/>
      <c r="D201" s="81"/>
      <c r="E201" s="81"/>
      <c r="F201" s="81"/>
      <c r="G201" s="81"/>
      <c r="H201" s="81"/>
      <c r="I201" s="81"/>
      <c r="J201" s="81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79" t="s">
        <v>2</v>
      </c>
      <c r="B202" s="83" t="s">
        <v>101</v>
      </c>
      <c r="C202" s="81"/>
      <c r="D202" s="81"/>
      <c r="E202" s="81"/>
      <c r="F202" s="81"/>
      <c r="G202" s="81"/>
      <c r="H202" s="81"/>
      <c r="I202" s="81"/>
      <c r="J202" s="81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79" t="s">
        <v>8</v>
      </c>
      <c r="B203" s="84" t="s">
        <v>123</v>
      </c>
      <c r="C203" s="81"/>
      <c r="D203" s="81"/>
      <c r="E203" s="81"/>
      <c r="F203" s="81"/>
      <c r="G203" s="81"/>
      <c r="H203" s="81"/>
      <c r="I203" s="81"/>
      <c r="J203" s="81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85" t="s">
        <v>9</v>
      </c>
      <c r="B205" s="86" t="s">
        <v>37</v>
      </c>
      <c r="C205" s="87" t="s">
        <v>38</v>
      </c>
      <c r="D205" s="88" t="s">
        <v>39</v>
      </c>
      <c r="E205" s="88" t="s">
        <v>40</v>
      </c>
      <c r="F205" s="89" t="s">
        <v>41</v>
      </c>
      <c r="G205" s="31"/>
      <c r="H205" s="89" t="s">
        <v>47</v>
      </c>
      <c r="I205" s="31"/>
      <c r="J205" s="87" t="s">
        <v>49</v>
      </c>
      <c r="K205" s="33" t="s">
        <v>41</v>
      </c>
      <c r="L205" s="34" t="s">
        <v>47</v>
      </c>
      <c r="M205" s="35" t="s">
        <v>51</v>
      </c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37"/>
      <c r="B206" s="86" t="s">
        <v>54</v>
      </c>
      <c r="C206" s="90">
        <v>15.0</v>
      </c>
      <c r="D206" s="91">
        <v>10.0</v>
      </c>
      <c r="E206" s="91">
        <v>10.0</v>
      </c>
      <c r="F206" s="91">
        <v>15.0</v>
      </c>
      <c r="G206" s="91">
        <v>5.0</v>
      </c>
      <c r="H206" s="91">
        <v>5.0</v>
      </c>
      <c r="I206" s="91">
        <v>15.0</v>
      </c>
      <c r="J206" s="37"/>
      <c r="K206" s="40" t="s">
        <v>62</v>
      </c>
      <c r="L206" s="40" t="s">
        <v>62</v>
      </c>
      <c r="M206" s="21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41"/>
      <c r="B207" s="92" t="s">
        <v>8</v>
      </c>
      <c r="C207" s="41"/>
      <c r="D207" s="41"/>
      <c r="E207" s="41"/>
      <c r="F207" s="41"/>
      <c r="G207" s="41"/>
      <c r="H207" s="41"/>
      <c r="I207" s="41"/>
      <c r="J207" s="41"/>
      <c r="K207" s="25"/>
      <c r="L207" s="25"/>
      <c r="M207" s="25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98">
        <v>1.0</v>
      </c>
      <c r="B208" s="99" t="s">
        <v>106</v>
      </c>
      <c r="C208" s="103" t="s">
        <v>71</v>
      </c>
      <c r="D208" s="101"/>
      <c r="E208" s="100" t="s">
        <v>71</v>
      </c>
      <c r="F208" s="101"/>
      <c r="G208" s="101"/>
      <c r="H208" s="101"/>
      <c r="I208" s="101"/>
      <c r="J208" s="100">
        <v>20.0</v>
      </c>
      <c r="K208" s="53"/>
      <c r="L208" s="54"/>
      <c r="M208" s="54">
        <f t="shared" ref="M208:M213" si="19">sum(K208:L208)</f>
        <v>0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98">
        <v>2.0</v>
      </c>
      <c r="B209" s="99" t="s">
        <v>124</v>
      </c>
      <c r="C209" s="100" t="s">
        <v>71</v>
      </c>
      <c r="D209" s="101"/>
      <c r="E209" s="100" t="s">
        <v>71</v>
      </c>
      <c r="F209" s="101"/>
      <c r="G209" s="101"/>
      <c r="H209" s="101"/>
      <c r="I209" s="101"/>
      <c r="J209" s="100">
        <v>20.0</v>
      </c>
      <c r="K209" s="53"/>
      <c r="L209" s="53"/>
      <c r="M209" s="54">
        <f t="shared" si="19"/>
        <v>0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98">
        <v>3.0</v>
      </c>
      <c r="B210" s="99" t="s">
        <v>125</v>
      </c>
      <c r="C210" s="100" t="s">
        <v>71</v>
      </c>
      <c r="D210" s="101"/>
      <c r="E210" s="100" t="s">
        <v>71</v>
      </c>
      <c r="F210" s="101"/>
      <c r="G210" s="101"/>
      <c r="H210" s="101"/>
      <c r="I210" s="101"/>
      <c r="J210" s="100">
        <v>25.0</v>
      </c>
      <c r="K210" s="54"/>
      <c r="L210" s="53"/>
      <c r="M210" s="54">
        <f t="shared" si="19"/>
        <v>0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98">
        <v>4.0</v>
      </c>
      <c r="B211" s="99" t="s">
        <v>126</v>
      </c>
      <c r="C211" s="100" t="s">
        <v>71</v>
      </c>
      <c r="D211" s="101"/>
      <c r="E211" s="105" t="s">
        <v>71</v>
      </c>
      <c r="F211" s="101"/>
      <c r="G211" s="101"/>
      <c r="H211" s="101"/>
      <c r="I211" s="101"/>
      <c r="J211" s="100">
        <v>25.0</v>
      </c>
      <c r="K211" s="53"/>
      <c r="L211" s="53"/>
      <c r="M211" s="54">
        <f t="shared" si="19"/>
        <v>0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98">
        <v>5.0</v>
      </c>
      <c r="B212" s="99" t="s">
        <v>127</v>
      </c>
      <c r="C212" s="100" t="s">
        <v>71</v>
      </c>
      <c r="D212" s="104" t="s">
        <v>71</v>
      </c>
      <c r="E212" s="100" t="s">
        <v>71</v>
      </c>
      <c r="F212" s="101"/>
      <c r="G212" s="101"/>
      <c r="H212" s="101"/>
      <c r="I212" s="101"/>
      <c r="J212" s="100">
        <v>35.0</v>
      </c>
      <c r="K212" s="53"/>
      <c r="L212" s="53"/>
      <c r="M212" s="54">
        <f t="shared" si="19"/>
        <v>0</v>
      </c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54">
        <v>6.0</v>
      </c>
      <c r="B213" s="102"/>
      <c r="C213" s="95"/>
      <c r="D213" s="95"/>
      <c r="E213" s="95"/>
      <c r="F213" s="95"/>
      <c r="G213" s="95"/>
      <c r="H213" s="95"/>
      <c r="I213" s="95"/>
      <c r="J213" s="95">
        <f>IF(C213="X",$C$7,0)+IF(D213="X",$D$7,0)+IF(E213="X",$E$7,0)+IF(F213="X",$F$7,0)+IF(G213="X",$G$7,0)+IF(H213="X",$H$7,0)+IF(I213="X",$I$7,0)</f>
        <v>0</v>
      </c>
      <c r="K213" s="53"/>
      <c r="L213" s="53"/>
      <c r="M213" s="54">
        <f t="shared" si="19"/>
        <v>0</v>
      </c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81"/>
      <c r="B214" s="81"/>
      <c r="C214" s="81"/>
      <c r="D214" s="81"/>
      <c r="E214" s="81"/>
      <c r="F214" s="81"/>
      <c r="G214" s="81"/>
      <c r="H214" s="96" t="s">
        <v>100</v>
      </c>
      <c r="J214" s="97">
        <f>SUM(J206:J213)</f>
        <v>125</v>
      </c>
      <c r="K214" s="61"/>
      <c r="L214" s="63" t="s">
        <v>102</v>
      </c>
      <c r="M214" s="66">
        <f>sum(M208:M213)</f>
        <v>0</v>
      </c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23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23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23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79" t="s">
        <v>27</v>
      </c>
      <c r="B218" s="80" t="s">
        <v>147</v>
      </c>
      <c r="C218" s="81"/>
      <c r="D218" s="81"/>
      <c r="E218" s="81"/>
      <c r="F218" s="81"/>
      <c r="G218" s="81"/>
      <c r="H218" s="81"/>
      <c r="I218" s="81"/>
      <c r="J218" s="81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79" t="s">
        <v>6</v>
      </c>
      <c r="B219" s="82">
        <v>13.0</v>
      </c>
      <c r="C219" s="81"/>
      <c r="D219" s="81"/>
      <c r="E219" s="81"/>
      <c r="F219" s="81"/>
      <c r="G219" s="81"/>
      <c r="H219" s="81"/>
      <c r="I219" s="81"/>
      <c r="J219" s="81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79" t="s">
        <v>2</v>
      </c>
      <c r="B220" s="83" t="s">
        <v>128</v>
      </c>
      <c r="C220" s="81"/>
      <c r="D220" s="81"/>
      <c r="E220" s="81"/>
      <c r="F220" s="81"/>
      <c r="G220" s="81"/>
      <c r="H220" s="81"/>
      <c r="I220" s="81"/>
      <c r="J220" s="81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79" t="s">
        <v>8</v>
      </c>
      <c r="B221" s="84" t="s">
        <v>129</v>
      </c>
      <c r="C221" s="81"/>
      <c r="D221" s="81"/>
      <c r="E221" s="81"/>
      <c r="F221" s="81"/>
      <c r="G221" s="81"/>
      <c r="H221" s="81"/>
      <c r="I221" s="81"/>
      <c r="J221" s="81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85" t="s">
        <v>9</v>
      </c>
      <c r="B223" s="86" t="s">
        <v>37</v>
      </c>
      <c r="C223" s="87" t="s">
        <v>38</v>
      </c>
      <c r="D223" s="88" t="s">
        <v>39</v>
      </c>
      <c r="E223" s="88" t="s">
        <v>40</v>
      </c>
      <c r="F223" s="89" t="s">
        <v>41</v>
      </c>
      <c r="G223" s="31"/>
      <c r="H223" s="89" t="s">
        <v>47</v>
      </c>
      <c r="I223" s="31"/>
      <c r="J223" s="87" t="s">
        <v>49</v>
      </c>
      <c r="K223" s="33" t="s">
        <v>41</v>
      </c>
      <c r="L223" s="34" t="s">
        <v>47</v>
      </c>
      <c r="M223" s="35" t="s">
        <v>51</v>
      </c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37"/>
      <c r="B224" s="86" t="s">
        <v>54</v>
      </c>
      <c r="C224" s="90">
        <v>15.0</v>
      </c>
      <c r="D224" s="91">
        <v>10.0</v>
      </c>
      <c r="E224" s="91">
        <v>10.0</v>
      </c>
      <c r="F224" s="91">
        <v>15.0</v>
      </c>
      <c r="G224" s="91">
        <v>5.0</v>
      </c>
      <c r="H224" s="91">
        <v>5.0</v>
      </c>
      <c r="I224" s="91">
        <v>15.0</v>
      </c>
      <c r="J224" s="37"/>
      <c r="K224" s="40" t="s">
        <v>62</v>
      </c>
      <c r="L224" s="40" t="s">
        <v>62</v>
      </c>
      <c r="M224" s="21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41"/>
      <c r="B225" s="92" t="s">
        <v>8</v>
      </c>
      <c r="C225" s="41"/>
      <c r="D225" s="41"/>
      <c r="E225" s="41"/>
      <c r="F225" s="41"/>
      <c r="G225" s="41"/>
      <c r="H225" s="41"/>
      <c r="I225" s="41"/>
      <c r="J225" s="41"/>
      <c r="K225" s="25"/>
      <c r="L225" s="25"/>
      <c r="M225" s="25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54">
        <v>1.0</v>
      </c>
      <c r="B226" s="99" t="s">
        <v>130</v>
      </c>
      <c r="C226" s="103" t="s">
        <v>71</v>
      </c>
      <c r="D226" s="101"/>
      <c r="E226" s="100" t="s">
        <v>71</v>
      </c>
      <c r="F226" s="101"/>
      <c r="G226" s="101"/>
      <c r="H226" s="101"/>
      <c r="I226" s="101"/>
      <c r="J226" s="100">
        <v>20.0</v>
      </c>
      <c r="K226" s="53"/>
      <c r="L226" s="54"/>
      <c r="M226" s="54">
        <f t="shared" ref="M226:M231" si="20">sum(K226:L226)</f>
        <v>0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54">
        <v>2.0</v>
      </c>
      <c r="B227" s="99" t="s">
        <v>148</v>
      </c>
      <c r="C227" s="100" t="s">
        <v>71</v>
      </c>
      <c r="D227" s="101"/>
      <c r="E227" s="100" t="s">
        <v>71</v>
      </c>
      <c r="F227" s="101"/>
      <c r="G227" s="101"/>
      <c r="H227" s="101"/>
      <c r="I227" s="101"/>
      <c r="J227" s="100">
        <v>20.0</v>
      </c>
      <c r="K227" s="53"/>
      <c r="L227" s="53"/>
      <c r="M227" s="54">
        <f t="shared" si="20"/>
        <v>0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54">
        <v>3.0</v>
      </c>
      <c r="B228" s="99" t="s">
        <v>133</v>
      </c>
      <c r="C228" s="100" t="s">
        <v>71</v>
      </c>
      <c r="D228" s="105" t="s">
        <v>71</v>
      </c>
      <c r="E228" s="100" t="s">
        <v>71</v>
      </c>
      <c r="F228" s="101"/>
      <c r="G228" s="101"/>
      <c r="H228" s="101"/>
      <c r="I228" s="101"/>
      <c r="J228" s="100">
        <v>25.0</v>
      </c>
      <c r="K228" s="54"/>
      <c r="L228" s="53"/>
      <c r="M228" s="54">
        <f t="shared" si="20"/>
        <v>0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54">
        <v>4.0</v>
      </c>
      <c r="B229" s="99" t="s">
        <v>134</v>
      </c>
      <c r="C229" s="100" t="s">
        <v>71</v>
      </c>
      <c r="D229" s="101"/>
      <c r="E229" s="105" t="s">
        <v>71</v>
      </c>
      <c r="F229" s="101"/>
      <c r="G229" s="101"/>
      <c r="H229" s="101"/>
      <c r="I229" s="101"/>
      <c r="J229" s="100">
        <v>20.0</v>
      </c>
      <c r="K229" s="53"/>
      <c r="L229" s="53"/>
      <c r="M229" s="54">
        <f t="shared" si="20"/>
        <v>0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54">
        <v>5.0</v>
      </c>
      <c r="B230" s="99" t="s">
        <v>149</v>
      </c>
      <c r="C230" s="100" t="s">
        <v>71</v>
      </c>
      <c r="D230" s="104"/>
      <c r="E230" s="100" t="s">
        <v>71</v>
      </c>
      <c r="F230" s="101"/>
      <c r="G230" s="101"/>
      <c r="H230" s="101"/>
      <c r="I230" s="101"/>
      <c r="J230" s="100">
        <v>25.0</v>
      </c>
      <c r="K230" s="53"/>
      <c r="L230" s="53"/>
      <c r="M230" s="54">
        <f t="shared" si="20"/>
        <v>0</v>
      </c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06">
        <v>6.0</v>
      </c>
      <c r="B231" s="99" t="s">
        <v>136</v>
      </c>
      <c r="C231" s="100" t="s">
        <v>71</v>
      </c>
      <c r="D231" s="107"/>
      <c r="E231" s="100" t="s">
        <v>71</v>
      </c>
      <c r="F231" s="107"/>
      <c r="G231" s="107"/>
      <c r="H231" s="107"/>
      <c r="I231" s="107"/>
      <c r="J231" s="100">
        <v>20.0</v>
      </c>
      <c r="K231" s="53"/>
      <c r="L231" s="53"/>
      <c r="M231" s="54">
        <f t="shared" si="20"/>
        <v>0</v>
      </c>
    </row>
    <row r="232">
      <c r="A232" s="108"/>
      <c r="B232" s="108"/>
      <c r="C232" s="108"/>
      <c r="D232" s="108"/>
      <c r="E232" s="108"/>
      <c r="F232" s="108"/>
      <c r="G232" s="108"/>
      <c r="H232" s="109" t="s">
        <v>100</v>
      </c>
      <c r="J232" s="110">
        <f>SUM(J224:J231)</f>
        <v>130</v>
      </c>
      <c r="K232" s="61"/>
      <c r="L232" s="63" t="s">
        <v>102</v>
      </c>
      <c r="M232" s="66">
        <f>sum(M226:M231)</f>
        <v>0</v>
      </c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</row>
    <row r="236">
      <c r="A236" s="112" t="s">
        <v>27</v>
      </c>
      <c r="B236" s="80" t="s">
        <v>147</v>
      </c>
      <c r="C236" s="108"/>
      <c r="D236" s="108"/>
      <c r="E236" s="108"/>
      <c r="F236" s="108"/>
      <c r="G236" s="108"/>
      <c r="H236" s="108"/>
      <c r="I236" s="108"/>
      <c r="J236" s="108"/>
    </row>
    <row r="237">
      <c r="A237" s="112" t="s">
        <v>6</v>
      </c>
      <c r="B237" s="82">
        <v>14.0</v>
      </c>
      <c r="C237" s="108"/>
      <c r="D237" s="108"/>
      <c r="E237" s="108"/>
      <c r="F237" s="108"/>
      <c r="G237" s="108"/>
      <c r="H237" s="108"/>
      <c r="I237" s="108"/>
      <c r="J237" s="108"/>
    </row>
    <row r="238">
      <c r="A238" s="112" t="s">
        <v>2</v>
      </c>
      <c r="B238" s="83" t="s">
        <v>128</v>
      </c>
      <c r="C238" s="108"/>
      <c r="D238" s="108"/>
      <c r="E238" s="108"/>
      <c r="F238" s="108"/>
      <c r="G238" s="108"/>
      <c r="H238" s="108"/>
      <c r="I238" s="108"/>
      <c r="J238" s="108"/>
    </row>
    <row r="239">
      <c r="A239" s="112" t="s">
        <v>8</v>
      </c>
      <c r="B239" s="84" t="s">
        <v>137</v>
      </c>
      <c r="C239" s="108"/>
      <c r="D239" s="108"/>
      <c r="E239" s="108"/>
      <c r="F239" s="108"/>
      <c r="G239" s="108"/>
      <c r="H239" s="108"/>
      <c r="I239" s="108"/>
      <c r="J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</row>
    <row r="241">
      <c r="A241" s="113" t="s">
        <v>9</v>
      </c>
      <c r="B241" s="114" t="s">
        <v>37</v>
      </c>
      <c r="C241" s="115" t="s">
        <v>38</v>
      </c>
      <c r="D241" s="116" t="s">
        <v>39</v>
      </c>
      <c r="E241" s="116" t="s">
        <v>40</v>
      </c>
      <c r="F241" s="117" t="s">
        <v>41</v>
      </c>
      <c r="G241" s="31"/>
      <c r="H241" s="117" t="s">
        <v>47</v>
      </c>
      <c r="I241" s="31"/>
      <c r="J241" s="115" t="s">
        <v>49</v>
      </c>
      <c r="K241" s="33" t="s">
        <v>41</v>
      </c>
      <c r="L241" s="34" t="s">
        <v>47</v>
      </c>
      <c r="M241" s="35" t="s">
        <v>51</v>
      </c>
    </row>
    <row r="242">
      <c r="A242" s="37"/>
      <c r="B242" s="114" t="s">
        <v>54</v>
      </c>
      <c r="C242" s="118">
        <v>15.0</v>
      </c>
      <c r="D242" s="119">
        <v>10.0</v>
      </c>
      <c r="E242" s="119">
        <v>10.0</v>
      </c>
      <c r="F242" s="119">
        <v>15.0</v>
      </c>
      <c r="G242" s="119">
        <v>5.0</v>
      </c>
      <c r="H242" s="119">
        <v>5.0</v>
      </c>
      <c r="I242" s="119">
        <v>15.0</v>
      </c>
      <c r="J242" s="37"/>
      <c r="K242" s="40" t="s">
        <v>62</v>
      </c>
      <c r="L242" s="40" t="s">
        <v>62</v>
      </c>
      <c r="M242" s="21"/>
    </row>
    <row r="243">
      <c r="A243" s="41"/>
      <c r="B243" s="120" t="s">
        <v>8</v>
      </c>
      <c r="C243" s="41"/>
      <c r="D243" s="41"/>
      <c r="E243" s="41"/>
      <c r="F243" s="41"/>
      <c r="G243" s="41"/>
      <c r="H243" s="41"/>
      <c r="I243" s="41"/>
      <c r="J243" s="41"/>
      <c r="K243" s="25"/>
      <c r="L243" s="25"/>
      <c r="M243" s="25"/>
    </row>
    <row r="244">
      <c r="A244" s="106">
        <v>1.0</v>
      </c>
      <c r="B244" s="99" t="s">
        <v>138</v>
      </c>
      <c r="C244" s="103" t="s">
        <v>71</v>
      </c>
      <c r="D244" s="107"/>
      <c r="E244" s="100" t="s">
        <v>71</v>
      </c>
      <c r="F244" s="107"/>
      <c r="G244" s="107"/>
      <c r="H244" s="107"/>
      <c r="I244" s="107"/>
      <c r="J244" s="100">
        <v>15.0</v>
      </c>
      <c r="K244" s="53"/>
      <c r="L244" s="54"/>
      <c r="M244" s="54">
        <f t="shared" ref="M244:M250" si="21">sum(K244:L244)</f>
        <v>0</v>
      </c>
    </row>
    <row r="245">
      <c r="A245" s="106">
        <v>2.0</v>
      </c>
      <c r="B245" s="99" t="s">
        <v>139</v>
      </c>
      <c r="C245" s="100" t="s">
        <v>71</v>
      </c>
      <c r="D245" s="107"/>
      <c r="E245" s="100" t="s">
        <v>71</v>
      </c>
      <c r="F245" s="107"/>
      <c r="G245" s="107"/>
      <c r="H245" s="107"/>
      <c r="I245" s="107"/>
      <c r="J245" s="100">
        <v>15.0</v>
      </c>
      <c r="K245" s="53"/>
      <c r="L245" s="53"/>
      <c r="M245" s="54">
        <f t="shared" si="21"/>
        <v>0</v>
      </c>
    </row>
    <row r="246">
      <c r="A246" s="106">
        <v>3.0</v>
      </c>
      <c r="B246" s="99" t="s">
        <v>140</v>
      </c>
      <c r="C246" s="100" t="s">
        <v>71</v>
      </c>
      <c r="D246" s="105" t="s">
        <v>71</v>
      </c>
      <c r="E246" s="107"/>
      <c r="F246" s="107"/>
      <c r="G246" s="107"/>
      <c r="H246" s="107"/>
      <c r="I246" s="107"/>
      <c r="J246" s="100">
        <v>15.0</v>
      </c>
      <c r="K246" s="54"/>
      <c r="L246" s="53"/>
      <c r="M246" s="54">
        <f t="shared" si="21"/>
        <v>0</v>
      </c>
    </row>
    <row r="247">
      <c r="A247" s="106">
        <v>4.0</v>
      </c>
      <c r="B247" s="99" t="s">
        <v>141</v>
      </c>
      <c r="C247" s="100" t="s">
        <v>71</v>
      </c>
      <c r="D247" s="104" t="s">
        <v>150</v>
      </c>
      <c r="E247" s="105" t="s">
        <v>71</v>
      </c>
      <c r="F247" s="107"/>
      <c r="G247" s="107"/>
      <c r="H247" s="107"/>
      <c r="I247" s="107"/>
      <c r="J247" s="100">
        <v>25.0</v>
      </c>
      <c r="K247" s="53"/>
      <c r="L247" s="53"/>
      <c r="M247" s="54">
        <f t="shared" si="21"/>
        <v>0</v>
      </c>
    </row>
    <row r="248">
      <c r="A248" s="106">
        <v>5.0</v>
      </c>
      <c r="B248" s="99" t="s">
        <v>142</v>
      </c>
      <c r="C248" s="100" t="s">
        <v>71</v>
      </c>
      <c r="D248" s="104" t="s">
        <v>71</v>
      </c>
      <c r="E248" s="107"/>
      <c r="F248" s="107"/>
      <c r="G248" s="107"/>
      <c r="H248" s="107"/>
      <c r="I248" s="107"/>
      <c r="J248" s="100">
        <v>15.0</v>
      </c>
      <c r="K248" s="53"/>
      <c r="L248" s="53"/>
      <c r="M248" s="54">
        <f t="shared" si="21"/>
        <v>0</v>
      </c>
    </row>
    <row r="249">
      <c r="A249" s="106">
        <v>6.0</v>
      </c>
      <c r="B249" s="99" t="s">
        <v>143</v>
      </c>
      <c r="C249" s="100" t="s">
        <v>71</v>
      </c>
      <c r="D249" s="107"/>
      <c r="E249" s="100" t="s">
        <v>71</v>
      </c>
      <c r="F249" s="107"/>
      <c r="G249" s="107"/>
      <c r="H249" s="107"/>
      <c r="I249" s="107"/>
      <c r="J249" s="100">
        <v>15.0</v>
      </c>
      <c r="K249" s="53"/>
      <c r="L249" s="53"/>
      <c r="M249" s="54">
        <f t="shared" si="21"/>
        <v>0</v>
      </c>
    </row>
    <row r="250">
      <c r="A250" s="121"/>
      <c r="B250" s="99" t="s">
        <v>144</v>
      </c>
      <c r="C250" s="100" t="s">
        <v>150</v>
      </c>
      <c r="D250" s="107"/>
      <c r="E250" s="107"/>
      <c r="F250" s="107"/>
      <c r="G250" s="107"/>
      <c r="H250" s="107"/>
      <c r="I250" s="107"/>
      <c r="J250" s="100">
        <v>20.0</v>
      </c>
      <c r="K250" s="53"/>
      <c r="L250" s="53"/>
      <c r="M250" s="54">
        <f t="shared" si="21"/>
        <v>0</v>
      </c>
    </row>
    <row r="251">
      <c r="A251" s="108"/>
      <c r="B251" s="108"/>
      <c r="C251" s="108"/>
      <c r="D251" s="108"/>
      <c r="E251" s="108"/>
      <c r="F251" s="108"/>
      <c r="G251" s="108"/>
      <c r="H251" s="109" t="s">
        <v>100</v>
      </c>
      <c r="J251" s="110">
        <f>SUM(J242:J250)</f>
        <v>120</v>
      </c>
      <c r="K251" s="16"/>
      <c r="L251" s="63" t="s">
        <v>102</v>
      </c>
      <c r="M251" s="66">
        <f>SUM(M244:M250)</f>
        <v>0</v>
      </c>
    </row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</sheetData>
  <mergeCells count="210">
    <mergeCell ref="F134:F135"/>
    <mergeCell ref="G134:G135"/>
    <mergeCell ref="F151:G151"/>
    <mergeCell ref="F152:F153"/>
    <mergeCell ref="G152:G153"/>
    <mergeCell ref="F169:G169"/>
    <mergeCell ref="D134:D135"/>
    <mergeCell ref="E134:E135"/>
    <mergeCell ref="A151:A153"/>
    <mergeCell ref="C152:C153"/>
    <mergeCell ref="D152:D153"/>
    <mergeCell ref="E152:E153"/>
    <mergeCell ref="E170:E171"/>
    <mergeCell ref="K134:K135"/>
    <mergeCell ref="L134:L135"/>
    <mergeCell ref="M151:M153"/>
    <mergeCell ref="K152:K153"/>
    <mergeCell ref="L152:L153"/>
    <mergeCell ref="C117:C118"/>
    <mergeCell ref="D117:D118"/>
    <mergeCell ref="H124:I124"/>
    <mergeCell ref="F133:G133"/>
    <mergeCell ref="H133:I133"/>
    <mergeCell ref="J133:J135"/>
    <mergeCell ref="M133:M135"/>
    <mergeCell ref="H134:H135"/>
    <mergeCell ref="I134:I135"/>
    <mergeCell ref="H142:I142"/>
    <mergeCell ref="H151:I151"/>
    <mergeCell ref="J151:J153"/>
    <mergeCell ref="H152:H153"/>
    <mergeCell ref="I152:I153"/>
    <mergeCell ref="C170:C171"/>
    <mergeCell ref="D170:D171"/>
    <mergeCell ref="F170:F171"/>
    <mergeCell ref="G170:G171"/>
    <mergeCell ref="H160:I160"/>
    <mergeCell ref="H169:I169"/>
    <mergeCell ref="J169:J171"/>
    <mergeCell ref="M169:M171"/>
    <mergeCell ref="H170:H171"/>
    <mergeCell ref="K170:K171"/>
    <mergeCell ref="L170:L171"/>
    <mergeCell ref="A169:A171"/>
    <mergeCell ref="A187:A189"/>
    <mergeCell ref="C188:C189"/>
    <mergeCell ref="D188:D189"/>
    <mergeCell ref="F188:F189"/>
    <mergeCell ref="G188:G189"/>
    <mergeCell ref="K188:K189"/>
    <mergeCell ref="L188:L189"/>
    <mergeCell ref="G43:G44"/>
    <mergeCell ref="H43:H44"/>
    <mergeCell ref="J42:J44"/>
    <mergeCell ref="K43:K44"/>
    <mergeCell ref="A42:A44"/>
    <mergeCell ref="F42:G42"/>
    <mergeCell ref="H42:I42"/>
    <mergeCell ref="M42:M44"/>
    <mergeCell ref="C43:C44"/>
    <mergeCell ref="D43:D44"/>
    <mergeCell ref="I43:I44"/>
    <mergeCell ref="L43:L44"/>
    <mergeCell ref="E62:E63"/>
    <mergeCell ref="F62:F63"/>
    <mergeCell ref="G62:G63"/>
    <mergeCell ref="H62:H63"/>
    <mergeCell ref="H71:I71"/>
    <mergeCell ref="J61:J63"/>
    <mergeCell ref="K62:K63"/>
    <mergeCell ref="E43:E44"/>
    <mergeCell ref="F43:F44"/>
    <mergeCell ref="H52:I52"/>
    <mergeCell ref="F61:G61"/>
    <mergeCell ref="H61:I61"/>
    <mergeCell ref="M61:M63"/>
    <mergeCell ref="I62:I63"/>
    <mergeCell ref="L62:L63"/>
    <mergeCell ref="A80:A82"/>
    <mergeCell ref="C81:C82"/>
    <mergeCell ref="F81:F82"/>
    <mergeCell ref="G81:G82"/>
    <mergeCell ref="H81:H82"/>
    <mergeCell ref="I81:I82"/>
    <mergeCell ref="K81:K82"/>
    <mergeCell ref="L81:L82"/>
    <mergeCell ref="A61:A63"/>
    <mergeCell ref="C62:C63"/>
    <mergeCell ref="D62:D63"/>
    <mergeCell ref="F80:G80"/>
    <mergeCell ref="H80:I80"/>
    <mergeCell ref="J80:J82"/>
    <mergeCell ref="M80:M82"/>
    <mergeCell ref="D100:D101"/>
    <mergeCell ref="E100:E101"/>
    <mergeCell ref="F100:F101"/>
    <mergeCell ref="G100:G101"/>
    <mergeCell ref="H100:H101"/>
    <mergeCell ref="I100:I101"/>
    <mergeCell ref="H107:I107"/>
    <mergeCell ref="K100:K101"/>
    <mergeCell ref="L100:L101"/>
    <mergeCell ref="D81:D82"/>
    <mergeCell ref="E81:E82"/>
    <mergeCell ref="H90:I90"/>
    <mergeCell ref="F99:G99"/>
    <mergeCell ref="H99:I99"/>
    <mergeCell ref="J99:J101"/>
    <mergeCell ref="M99:M101"/>
    <mergeCell ref="E117:E118"/>
    <mergeCell ref="F117:F118"/>
    <mergeCell ref="G117:G118"/>
    <mergeCell ref="H117:H118"/>
    <mergeCell ref="J116:J118"/>
    <mergeCell ref="K117:K118"/>
    <mergeCell ref="A99:A101"/>
    <mergeCell ref="C100:C101"/>
    <mergeCell ref="A116:A118"/>
    <mergeCell ref="F116:G116"/>
    <mergeCell ref="H116:I116"/>
    <mergeCell ref="M116:M118"/>
    <mergeCell ref="I117:I118"/>
    <mergeCell ref="L117:L118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  <mergeCell ref="F25:F26"/>
    <mergeCell ref="G25:G26"/>
    <mergeCell ref="H33:I33"/>
    <mergeCell ref="J24:J26"/>
    <mergeCell ref="K25:K26"/>
    <mergeCell ref="G7:G8"/>
    <mergeCell ref="H7:H8"/>
    <mergeCell ref="H15:I15"/>
    <mergeCell ref="H24:I24"/>
    <mergeCell ref="M24:M26"/>
    <mergeCell ref="H25:H26"/>
    <mergeCell ref="I25:I26"/>
    <mergeCell ref="L25:L26"/>
    <mergeCell ref="E7:E8"/>
    <mergeCell ref="F7:F8"/>
    <mergeCell ref="A24:A26"/>
    <mergeCell ref="F24:G24"/>
    <mergeCell ref="C25:C26"/>
    <mergeCell ref="D25:D26"/>
    <mergeCell ref="E25:E26"/>
    <mergeCell ref="A133:A135"/>
    <mergeCell ref="C134:C135"/>
    <mergeCell ref="I242:I243"/>
    <mergeCell ref="H251:I251"/>
    <mergeCell ref="H232:I232"/>
    <mergeCell ref="H241:I241"/>
    <mergeCell ref="J241:J243"/>
    <mergeCell ref="M241:M243"/>
    <mergeCell ref="H242:H243"/>
    <mergeCell ref="K242:K243"/>
    <mergeCell ref="L242:L243"/>
    <mergeCell ref="I170:I171"/>
    <mergeCell ref="H178:I178"/>
    <mergeCell ref="F187:G187"/>
    <mergeCell ref="H187:I187"/>
    <mergeCell ref="J187:J189"/>
    <mergeCell ref="M187:M189"/>
    <mergeCell ref="E188:E189"/>
    <mergeCell ref="F206:F207"/>
    <mergeCell ref="G206:G207"/>
    <mergeCell ref="F223:G223"/>
    <mergeCell ref="F224:F225"/>
    <mergeCell ref="G224:G225"/>
    <mergeCell ref="F241:G241"/>
    <mergeCell ref="F242:F243"/>
    <mergeCell ref="G242:G243"/>
    <mergeCell ref="K206:K207"/>
    <mergeCell ref="L206:L207"/>
    <mergeCell ref="M223:M225"/>
    <mergeCell ref="K224:K225"/>
    <mergeCell ref="L224:L225"/>
    <mergeCell ref="H188:H189"/>
    <mergeCell ref="I188:I189"/>
    <mergeCell ref="H196:I196"/>
    <mergeCell ref="F205:G205"/>
    <mergeCell ref="H205:I205"/>
    <mergeCell ref="J205:J207"/>
    <mergeCell ref="M205:M207"/>
    <mergeCell ref="A223:A225"/>
    <mergeCell ref="A241:A243"/>
    <mergeCell ref="C242:C243"/>
    <mergeCell ref="D242:D243"/>
    <mergeCell ref="E242:E243"/>
    <mergeCell ref="A205:A207"/>
    <mergeCell ref="C206:C207"/>
    <mergeCell ref="D206:D207"/>
    <mergeCell ref="E206:E207"/>
    <mergeCell ref="C224:C225"/>
    <mergeCell ref="D224:D225"/>
    <mergeCell ref="E224:E225"/>
    <mergeCell ref="H206:H207"/>
    <mergeCell ref="I206:I207"/>
    <mergeCell ref="H214:I214"/>
    <mergeCell ref="H223:I223"/>
    <mergeCell ref="J223:J225"/>
    <mergeCell ref="H224:H225"/>
    <mergeCell ref="I224:I225"/>
  </mergeCells>
  <drawing r:id="rId1"/>
</worksheet>
</file>